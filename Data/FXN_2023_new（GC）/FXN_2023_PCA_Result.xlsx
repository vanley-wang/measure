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ent\Private\student11\Measure\Measure_copy\Data\FXN_2023_new\"/>
    </mc:Choice>
  </mc:AlternateContent>
  <xr:revisionPtr revIDLastSave="0" documentId="13_ncr:1_{D9A25034-D7BC-4553-89FB-589553408979}" xr6:coauthVersionLast="47" xr6:coauthVersionMax="47" xr10:uidLastSave="{00000000-0000-0000-0000-000000000000}"/>
  <bookViews>
    <workbookView xWindow="1605" yWindow="270" windowWidth="23655" windowHeight="151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2" i="1"/>
</calcChain>
</file>

<file path=xl/sharedStrings.xml><?xml version="1.0" encoding="utf-8"?>
<sst xmlns="http://schemas.openxmlformats.org/spreadsheetml/2006/main" count="86" uniqueCount="80">
  <si>
    <t>Name</t>
  </si>
  <si>
    <t>PC1</t>
  </si>
  <si>
    <t>PC2</t>
  </si>
  <si>
    <t>PC3</t>
  </si>
  <si>
    <t>PC4</t>
  </si>
  <si>
    <t>Result</t>
  </si>
  <si>
    <t>ATP</t>
  </si>
  <si>
    <t>C10_0701</t>
  </si>
  <si>
    <t>C11_0701</t>
  </si>
  <si>
    <t>C12_0701</t>
  </si>
  <si>
    <t>C1_0701</t>
  </si>
  <si>
    <t>C2_0701</t>
  </si>
  <si>
    <t>C3_0701</t>
  </si>
  <si>
    <t>C4_0701</t>
  </si>
  <si>
    <t>C5_0701</t>
  </si>
  <si>
    <t>C6_0701</t>
  </si>
  <si>
    <t>C7_0701</t>
  </si>
  <si>
    <t>C8_0701</t>
  </si>
  <si>
    <t>C9_0701</t>
  </si>
  <si>
    <t>D1_0701</t>
  </si>
  <si>
    <t>D2_0701</t>
  </si>
  <si>
    <t>D3_0701</t>
  </si>
  <si>
    <t>D4_0701</t>
  </si>
  <si>
    <t>D5_0701</t>
  </si>
  <si>
    <t>D6_0701</t>
  </si>
  <si>
    <t>E1_0701</t>
  </si>
  <si>
    <t>E2_0701</t>
  </si>
  <si>
    <t>E3_0701</t>
  </si>
  <si>
    <t>E4_0701</t>
  </si>
  <si>
    <t>E5_0701</t>
  </si>
  <si>
    <t>E6_0701</t>
  </si>
  <si>
    <t>F10_0701</t>
  </si>
  <si>
    <t>F11_0701</t>
  </si>
  <si>
    <t>F12_0701</t>
  </si>
  <si>
    <t>F1_0701</t>
  </si>
  <si>
    <t>F2_0701</t>
  </si>
  <si>
    <t>F3_0701</t>
  </si>
  <si>
    <t>F4_0701</t>
  </si>
  <si>
    <t>F5_0701</t>
  </si>
  <si>
    <t>F6_0701</t>
  </si>
  <si>
    <t>F7_0701</t>
  </si>
  <si>
    <t>F8_0701</t>
  </si>
  <si>
    <t>F9_0701</t>
  </si>
  <si>
    <t>C10_0703</t>
  </si>
  <si>
    <t>C11_0703</t>
  </si>
  <si>
    <t>C12_0703</t>
  </si>
  <si>
    <t>C1_0703</t>
  </si>
  <si>
    <t>C2_0703</t>
  </si>
  <si>
    <t>C3_0703</t>
  </si>
  <si>
    <t>C4_0703</t>
  </si>
  <si>
    <t>C5_0703</t>
  </si>
  <si>
    <t>C6_0703</t>
  </si>
  <si>
    <t>C7_0703</t>
  </si>
  <si>
    <t>C8_0703</t>
  </si>
  <si>
    <t>C9_0703</t>
  </si>
  <si>
    <t>D1_0703</t>
  </si>
  <si>
    <t>D2_0703</t>
  </si>
  <si>
    <t>D3_0703</t>
  </si>
  <si>
    <t>D4_0703</t>
  </si>
  <si>
    <t>D5_0703</t>
  </si>
  <si>
    <t>D6_0703</t>
  </si>
  <si>
    <t>E1_0703</t>
  </si>
  <si>
    <t>E2_0703</t>
  </si>
  <si>
    <t>E3_0703</t>
  </si>
  <si>
    <t>E4_0703</t>
  </si>
  <si>
    <t>E5_0703</t>
  </si>
  <si>
    <t>E6_0703</t>
  </si>
  <si>
    <t>F10_0703</t>
  </si>
  <si>
    <t>F11_0703</t>
  </si>
  <si>
    <t>F12_0703</t>
  </si>
  <si>
    <t>F1_0703</t>
  </si>
  <si>
    <t>F2_0703</t>
  </si>
  <si>
    <t>F3_0703</t>
  </si>
  <si>
    <t>F4_0703</t>
  </si>
  <si>
    <t>F5_0703</t>
  </si>
  <si>
    <t>F6_0703</t>
  </si>
  <si>
    <t>F7_0703</t>
  </si>
  <si>
    <t>F8_0703</t>
  </si>
  <si>
    <t>F9_0703</t>
  </si>
  <si>
    <t>差值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</si>
</sst>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selection activeCell="T12" sqref="T12"/>
    </sheetView>
  </sheetViews>
  <sheetFormatPr defaultRowHeight="13.5" x14ac:dyDescent="0.15"/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O1" t="s">
        <v>79</v>
      </c>
      <c r="P1" s="1" t="s">
        <v>6</v>
      </c>
    </row>
    <row r="2" spans="1:17" x14ac:dyDescent="0.15">
      <c r="A2" t="s">
        <v>7</v>
      </c>
      <c r="B2">
        <v>0.27692890841093648</v>
      </c>
      <c r="C2">
        <v>0.58467790084088633</v>
      </c>
      <c r="D2">
        <v>-0.76839215235117675</v>
      </c>
      <c r="E2">
        <v>-1.174925168509767</v>
      </c>
      <c r="F2">
        <v>3.4735984260052581E-2</v>
      </c>
      <c r="H2" t="s">
        <v>43</v>
      </c>
      <c r="I2">
        <v>0.73985758700752668</v>
      </c>
      <c r="J2">
        <v>-1.2676918629446989</v>
      </c>
      <c r="K2">
        <v>0.28922890239470012</v>
      </c>
      <c r="L2">
        <v>-0.59284579981981744</v>
      </c>
      <c r="M2">
        <v>-0.1338457905264801</v>
      </c>
      <c r="O2">
        <f>M2-F2</f>
        <v>-0.16858177478653269</v>
      </c>
      <c r="Q2">
        <f>PEARSON(O2:O37,P2:P37)</f>
        <v>0.8868341999621473</v>
      </c>
    </row>
    <row r="3" spans="1:17" x14ac:dyDescent="0.15">
      <c r="A3" t="s">
        <v>8</v>
      </c>
      <c r="B3">
        <v>0.16736131769429999</v>
      </c>
      <c r="C3">
        <v>-0.25879112790566011</v>
      </c>
      <c r="D3">
        <v>0.97307583914907647</v>
      </c>
      <c r="E3">
        <v>-2.2520325361088729E-2</v>
      </c>
      <c r="F3">
        <v>0.1472094216732506</v>
      </c>
      <c r="H3" t="s">
        <v>44</v>
      </c>
      <c r="I3">
        <v>1.1894322583826</v>
      </c>
      <c r="J3">
        <v>-0.93574923220384676</v>
      </c>
      <c r="K3">
        <v>-5.9662644911838161E-2</v>
      </c>
      <c r="L3">
        <v>-0.80339666236601903</v>
      </c>
      <c r="M3">
        <v>6.6953765727841091E-2</v>
      </c>
      <c r="O3">
        <f t="shared" ref="O3:O37" si="0">M3-F3</f>
        <v>-8.025565594540951E-2</v>
      </c>
      <c r="P3">
        <v>24330</v>
      </c>
    </row>
    <row r="4" spans="1:17" x14ac:dyDescent="0.15">
      <c r="A4" t="s">
        <v>9</v>
      </c>
      <c r="B4">
        <v>-1.587622387069429</v>
      </c>
      <c r="C4">
        <v>-0.96716890109964726</v>
      </c>
      <c r="D4">
        <v>-0.30578349842805752</v>
      </c>
      <c r="E4">
        <v>0.1166182854245463</v>
      </c>
      <c r="F4">
        <v>-0.97716677222358317</v>
      </c>
      <c r="H4" t="s">
        <v>45</v>
      </c>
      <c r="I4">
        <v>-0.90393928278464608</v>
      </c>
      <c r="J4">
        <v>-1.095065674537163</v>
      </c>
      <c r="K4">
        <v>-1.194922076403051</v>
      </c>
      <c r="L4">
        <v>-4.905719899216382E-2</v>
      </c>
      <c r="M4">
        <v>-0.92035818123381941</v>
      </c>
      <c r="O4">
        <f t="shared" si="0"/>
        <v>5.6808590989763763E-2</v>
      </c>
      <c r="P4">
        <v>71930</v>
      </c>
    </row>
    <row r="5" spans="1:17" x14ac:dyDescent="0.15">
      <c r="A5" t="s">
        <v>10</v>
      </c>
      <c r="B5">
        <v>-2.800650617607388</v>
      </c>
      <c r="C5">
        <v>-1.1245606729189379</v>
      </c>
      <c r="D5">
        <v>0.6068421477436734</v>
      </c>
      <c r="E5">
        <v>-0.43677475057043957</v>
      </c>
      <c r="F5">
        <v>-1.4106867557539431</v>
      </c>
      <c r="H5" t="s">
        <v>46</v>
      </c>
      <c r="I5">
        <v>-0.65064461655305994</v>
      </c>
      <c r="J5">
        <v>-0.50015992120475272</v>
      </c>
      <c r="K5">
        <v>-1.056659487389471</v>
      </c>
      <c r="L5">
        <v>0.57831888214816651</v>
      </c>
      <c r="M5">
        <v>-0.53493161139853695</v>
      </c>
      <c r="O5">
        <f t="shared" si="0"/>
        <v>0.87575514435540613</v>
      </c>
    </row>
    <row r="6" spans="1:17" x14ac:dyDescent="0.15">
      <c r="A6" t="s">
        <v>11</v>
      </c>
      <c r="B6">
        <v>0.2306236925303736</v>
      </c>
      <c r="C6">
        <v>0.7522756816272167</v>
      </c>
      <c r="D6">
        <v>1.0425440009319471</v>
      </c>
      <c r="E6">
        <v>-1.6295158622631149E-2</v>
      </c>
      <c r="F6">
        <v>0.51098588464868988</v>
      </c>
      <c r="H6" t="s">
        <v>47</v>
      </c>
      <c r="I6">
        <v>1.317453570723947</v>
      </c>
      <c r="J6">
        <v>0.22275374880311599</v>
      </c>
      <c r="K6">
        <v>0.4945563668795927</v>
      </c>
      <c r="L6">
        <v>0.25605942095813722</v>
      </c>
      <c r="M6">
        <v>0.70451651463042131</v>
      </c>
      <c r="O6">
        <f t="shared" si="0"/>
        <v>0.19353062998173143</v>
      </c>
    </row>
    <row r="7" spans="1:17" x14ac:dyDescent="0.15">
      <c r="A7" t="s">
        <v>12</v>
      </c>
      <c r="B7">
        <v>0.57442755634054365</v>
      </c>
      <c r="C7">
        <v>0.30134609871594742</v>
      </c>
      <c r="D7">
        <v>-0.1384601442463049</v>
      </c>
      <c r="E7">
        <v>-6.1736652276587138E-2</v>
      </c>
      <c r="F7">
        <v>0.29287895819257193</v>
      </c>
      <c r="H7" t="s">
        <v>48</v>
      </c>
      <c r="I7">
        <v>1.066612842745676</v>
      </c>
      <c r="J7">
        <v>0.6079326378612655</v>
      </c>
      <c r="K7">
        <v>0.46219202523911013</v>
      </c>
      <c r="L7">
        <v>0.1857811205959084</v>
      </c>
      <c r="M7">
        <v>0.71656201679967657</v>
      </c>
      <c r="O7">
        <f t="shared" si="0"/>
        <v>0.42368305860710465</v>
      </c>
      <c r="P7">
        <v>8638000</v>
      </c>
    </row>
    <row r="8" spans="1:17" x14ac:dyDescent="0.15">
      <c r="A8" t="s">
        <v>13</v>
      </c>
      <c r="B8">
        <v>-0.5293677872265089</v>
      </c>
      <c r="C8">
        <v>1.0342465916161681</v>
      </c>
      <c r="D8">
        <v>1.3140684847721369</v>
      </c>
      <c r="E8">
        <v>-0.20641182226357679</v>
      </c>
      <c r="F8">
        <v>0.32800347387696538</v>
      </c>
      <c r="H8" t="s">
        <v>49</v>
      </c>
      <c r="I8">
        <v>-0.73166248889092211</v>
      </c>
      <c r="J8">
        <v>1.21562884360057</v>
      </c>
      <c r="K8">
        <v>1.2019757215542619</v>
      </c>
      <c r="L8">
        <v>-0.4361130431382651</v>
      </c>
      <c r="M8">
        <v>0.26195159912406307</v>
      </c>
      <c r="O8">
        <f t="shared" si="0"/>
        <v>-6.6051874752902306E-2</v>
      </c>
      <c r="P8">
        <v>7800000</v>
      </c>
    </row>
    <row r="9" spans="1:17" x14ac:dyDescent="0.15">
      <c r="A9" t="s">
        <v>14</v>
      </c>
      <c r="B9">
        <v>0.71581298188364562</v>
      </c>
      <c r="C9">
        <v>0.16731525261959049</v>
      </c>
      <c r="D9">
        <v>-0.26207742033343362</v>
      </c>
      <c r="E9">
        <v>0.25034744791346741</v>
      </c>
      <c r="F9">
        <v>0.31887099536526448</v>
      </c>
      <c r="H9" t="s">
        <v>50</v>
      </c>
      <c r="I9">
        <v>-0.194865100556911</v>
      </c>
      <c r="J9">
        <v>0.63654246689784688</v>
      </c>
      <c r="K9">
        <v>0.70077061951092978</v>
      </c>
      <c r="L9">
        <v>-0.72982547349835458</v>
      </c>
      <c r="M9">
        <v>0.16772960736630979</v>
      </c>
      <c r="O9">
        <f t="shared" si="0"/>
        <v>-0.15114138799895468</v>
      </c>
      <c r="P9">
        <v>7260000</v>
      </c>
    </row>
    <row r="10" spans="1:17" x14ac:dyDescent="0.15">
      <c r="A10" t="s">
        <v>15</v>
      </c>
      <c r="B10">
        <v>0.27483759379304479</v>
      </c>
      <c r="C10">
        <v>0.23318339208039071</v>
      </c>
      <c r="D10">
        <v>0.40153022732584381</v>
      </c>
      <c r="E10">
        <v>0.16473952993886609</v>
      </c>
      <c r="F10">
        <v>0.27090758279081112</v>
      </c>
      <c r="H10" t="s">
        <v>51</v>
      </c>
      <c r="I10">
        <v>0.70195439960693118</v>
      </c>
      <c r="J10">
        <v>1.1967686806291249</v>
      </c>
      <c r="K10">
        <v>0.41292192380641668</v>
      </c>
      <c r="L10">
        <v>0.33352682175803439</v>
      </c>
      <c r="M10">
        <v>0.7708607413289712</v>
      </c>
      <c r="O10">
        <f t="shared" si="0"/>
        <v>0.49995315853816008</v>
      </c>
    </row>
    <row r="11" spans="1:17" x14ac:dyDescent="0.15">
      <c r="A11" t="s">
        <v>16</v>
      </c>
      <c r="B11">
        <v>0.25737176923712329</v>
      </c>
      <c r="C11">
        <v>5.3127564958331187E-2</v>
      </c>
      <c r="D11">
        <v>0.95933392353140567</v>
      </c>
      <c r="E11">
        <v>0.58968285653412311</v>
      </c>
      <c r="F11">
        <v>0.34917478218429188</v>
      </c>
      <c r="H11" t="s">
        <v>52</v>
      </c>
      <c r="I11">
        <v>1.6673461946548089</v>
      </c>
      <c r="J11">
        <v>-2.0572828103935139</v>
      </c>
      <c r="K11">
        <v>0.3652086034474456</v>
      </c>
      <c r="L11">
        <v>0.69960567963927722</v>
      </c>
      <c r="M11">
        <v>0.13393238260970461</v>
      </c>
      <c r="O11">
        <f t="shared" si="0"/>
        <v>-0.21524239957458727</v>
      </c>
    </row>
    <row r="12" spans="1:17" x14ac:dyDescent="0.15">
      <c r="A12" t="s">
        <v>17</v>
      </c>
      <c r="B12">
        <v>3.6343581316206228E-2</v>
      </c>
      <c r="C12">
        <v>-0.1430516862518123</v>
      </c>
      <c r="D12">
        <v>1.200066962617492</v>
      </c>
      <c r="E12">
        <v>0.1596805209035197</v>
      </c>
      <c r="F12">
        <v>0.19225370969321989</v>
      </c>
      <c r="H12" t="s">
        <v>53</v>
      </c>
      <c r="I12">
        <v>1.9797224696863289</v>
      </c>
      <c r="J12">
        <v>-0.98747148064984858</v>
      </c>
      <c r="K12">
        <v>-0.21529061557620671</v>
      </c>
      <c r="L12">
        <v>-0.50931158683503464</v>
      </c>
      <c r="M12">
        <v>0.36767169200359262</v>
      </c>
      <c r="O12">
        <f t="shared" si="0"/>
        <v>0.17541798231037273</v>
      </c>
      <c r="P12">
        <v>185300</v>
      </c>
    </row>
    <row r="13" spans="1:17" x14ac:dyDescent="0.15">
      <c r="A13" t="s">
        <v>18</v>
      </c>
      <c r="B13">
        <v>-1.104906401915311</v>
      </c>
      <c r="C13">
        <v>-1.2989864637548649</v>
      </c>
      <c r="D13">
        <v>-0.86873682197160285</v>
      </c>
      <c r="E13">
        <v>1.266485529190667E-2</v>
      </c>
      <c r="F13">
        <v>-1.0023858536476411</v>
      </c>
      <c r="H13" t="s">
        <v>54</v>
      </c>
      <c r="I13">
        <v>0.29538054731230712</v>
      </c>
      <c r="J13">
        <v>-0.7685026582215031</v>
      </c>
      <c r="K13">
        <v>-0.4124225847191566</v>
      </c>
      <c r="L13">
        <v>-0.93680391994008094</v>
      </c>
      <c r="M13">
        <v>-0.30686155515280378</v>
      </c>
      <c r="O13">
        <f t="shared" si="0"/>
        <v>0.69552429849483732</v>
      </c>
    </row>
    <row r="14" spans="1:17" x14ac:dyDescent="0.15">
      <c r="A14" t="s">
        <v>19</v>
      </c>
      <c r="B14">
        <v>-2.800650617607388</v>
      </c>
      <c r="C14">
        <v>-1.124560672918939</v>
      </c>
      <c r="D14">
        <v>0.60684214774367384</v>
      </c>
      <c r="E14">
        <v>-0.43677475057043941</v>
      </c>
      <c r="F14">
        <v>-1.4106867557539431</v>
      </c>
      <c r="H14" t="s">
        <v>55</v>
      </c>
      <c r="I14">
        <v>-1.7279288799293819</v>
      </c>
      <c r="J14">
        <v>-0.62579770223930897</v>
      </c>
      <c r="K14">
        <v>-0.84796691403335189</v>
      </c>
      <c r="L14">
        <v>-0.58976008773721056</v>
      </c>
      <c r="M14">
        <v>-1.0942288854984339</v>
      </c>
      <c r="O14">
        <f t="shared" si="0"/>
        <v>0.3164578702555092</v>
      </c>
    </row>
    <row r="15" spans="1:17" x14ac:dyDescent="0.15">
      <c r="A15" t="s">
        <v>20</v>
      </c>
      <c r="B15">
        <v>-1.4358130996048879</v>
      </c>
      <c r="C15">
        <v>1.7577410934241231</v>
      </c>
      <c r="D15">
        <v>-0.73016842558103778</v>
      </c>
      <c r="E15">
        <v>0.51008703528104671</v>
      </c>
      <c r="F15">
        <v>-6.7280372791790291E-2</v>
      </c>
      <c r="H15" t="s">
        <v>56</v>
      </c>
      <c r="I15">
        <v>1.541624331011006</v>
      </c>
      <c r="J15">
        <v>4.1486184835652529E-2</v>
      </c>
      <c r="K15">
        <v>-1.7865570251080101</v>
      </c>
      <c r="L15">
        <v>-1.067347552743666</v>
      </c>
      <c r="M15">
        <v>0.19475074648143109</v>
      </c>
      <c r="O15">
        <f t="shared" si="0"/>
        <v>0.26203111927322137</v>
      </c>
    </row>
    <row r="16" spans="1:17" x14ac:dyDescent="0.15">
      <c r="A16" t="s">
        <v>21</v>
      </c>
      <c r="B16">
        <v>1.3751061300413381</v>
      </c>
      <c r="C16">
        <v>1.5091252500140411</v>
      </c>
      <c r="D16">
        <v>-1.1284998768005059</v>
      </c>
      <c r="E16">
        <v>-0.59751830934960737</v>
      </c>
      <c r="F16">
        <v>0.76814393804029868</v>
      </c>
      <c r="H16" t="s">
        <v>57</v>
      </c>
      <c r="I16">
        <v>2.1709987812104532</v>
      </c>
      <c r="J16">
        <v>-1.0223969326100319</v>
      </c>
      <c r="K16">
        <v>-0.5365909324751148</v>
      </c>
      <c r="L16">
        <v>0.33000761760825592</v>
      </c>
      <c r="M16">
        <v>0.47006981644689999</v>
      </c>
      <c r="O16">
        <f t="shared" si="0"/>
        <v>-0.29807412159339869</v>
      </c>
    </row>
    <row r="17" spans="1:16" x14ac:dyDescent="0.15">
      <c r="A17" t="s">
        <v>22</v>
      </c>
      <c r="B17">
        <v>5.381384947470565E-3</v>
      </c>
      <c r="C17">
        <v>1.954753760308382</v>
      </c>
      <c r="D17">
        <v>1.649443678814873</v>
      </c>
      <c r="E17">
        <v>0.35475536596946888</v>
      </c>
      <c r="F17">
        <v>0.95588639720351953</v>
      </c>
      <c r="H17" t="s">
        <v>58</v>
      </c>
      <c r="I17">
        <v>3.245230665185745</v>
      </c>
      <c r="J17">
        <v>-2.3076393092487222</v>
      </c>
      <c r="K17">
        <v>-0.2444379397106006</v>
      </c>
      <c r="L17">
        <v>1.721881928690203</v>
      </c>
      <c r="M17">
        <v>0.68398822360014677</v>
      </c>
      <c r="O17">
        <f t="shared" si="0"/>
        <v>-0.27189817360337276</v>
      </c>
      <c r="P17">
        <v>66260</v>
      </c>
    </row>
    <row r="18" spans="1:16" x14ac:dyDescent="0.15">
      <c r="A18" t="s">
        <v>23</v>
      </c>
      <c r="B18">
        <v>0.2247954125836803</v>
      </c>
      <c r="C18">
        <v>1.1104058332540849</v>
      </c>
      <c r="D18">
        <v>-9.5709439183601766E-2</v>
      </c>
      <c r="E18">
        <v>-0.31641624468797391</v>
      </c>
      <c r="F18">
        <v>0.39512471992820591</v>
      </c>
      <c r="H18" t="s">
        <v>59</v>
      </c>
      <c r="I18">
        <v>1.5427276942010659</v>
      </c>
      <c r="J18">
        <v>-1.5899278876921561</v>
      </c>
      <c r="K18">
        <v>0.26866657177895498</v>
      </c>
      <c r="L18">
        <v>0.56378481607531261</v>
      </c>
      <c r="M18">
        <v>0.20388861761242269</v>
      </c>
      <c r="O18">
        <f t="shared" si="0"/>
        <v>-0.19123610231578322</v>
      </c>
      <c r="P18">
        <v>27630</v>
      </c>
    </row>
    <row r="19" spans="1:16" x14ac:dyDescent="0.15">
      <c r="A19" t="s">
        <v>24</v>
      </c>
      <c r="B19">
        <v>0.91738264615424814</v>
      </c>
      <c r="C19">
        <v>-0.35865785486279572</v>
      </c>
      <c r="D19">
        <v>0.93702482470593007</v>
      </c>
      <c r="E19">
        <v>0.79395965999537932</v>
      </c>
      <c r="F19">
        <v>0.49529810335975322</v>
      </c>
      <c r="H19" t="s">
        <v>60</v>
      </c>
      <c r="I19">
        <v>1.5153437532253871</v>
      </c>
      <c r="J19">
        <v>-1.5285234698282</v>
      </c>
      <c r="K19">
        <v>7.8444060090747253E-3</v>
      </c>
      <c r="L19">
        <v>0.109948300697982</v>
      </c>
      <c r="M19">
        <v>0.1174996606720594</v>
      </c>
      <c r="O19">
        <f t="shared" si="0"/>
        <v>-0.3777984426876938</v>
      </c>
      <c r="P19">
        <v>25920</v>
      </c>
    </row>
    <row r="20" spans="1:16" x14ac:dyDescent="0.15">
      <c r="A20" t="s">
        <v>25</v>
      </c>
      <c r="B20">
        <v>-1.2331782589764639</v>
      </c>
      <c r="C20">
        <v>-1.1972402673881131</v>
      </c>
      <c r="D20">
        <v>-0.59477217203213884</v>
      </c>
      <c r="E20">
        <v>0.1842340585369919</v>
      </c>
      <c r="F20">
        <v>-0.95388442598460355</v>
      </c>
      <c r="H20" t="s">
        <v>61</v>
      </c>
      <c r="I20">
        <v>-1.075168304431668</v>
      </c>
      <c r="J20">
        <v>-1.2688112971160159</v>
      </c>
      <c r="K20">
        <v>-0.91700406556831504</v>
      </c>
      <c r="L20">
        <v>3.5315379854224021E-3</v>
      </c>
      <c r="M20">
        <v>-0.99024781370782144</v>
      </c>
      <c r="O20">
        <f t="shared" si="0"/>
        <v>-3.6363387723217899E-2</v>
      </c>
    </row>
    <row r="21" spans="1:16" x14ac:dyDescent="0.15">
      <c r="A21" t="s">
        <v>26</v>
      </c>
      <c r="B21">
        <v>-0.78492564824806532</v>
      </c>
      <c r="C21">
        <v>-0.74239956238104765</v>
      </c>
      <c r="D21">
        <v>-1.3223209994845491</v>
      </c>
      <c r="E21">
        <v>4.6564413412776388E-2</v>
      </c>
      <c r="F21">
        <v>-0.77092355919941058</v>
      </c>
      <c r="H21" t="s">
        <v>62</v>
      </c>
      <c r="I21">
        <v>-1.064298027891732</v>
      </c>
      <c r="J21">
        <v>-1.2577812570745039</v>
      </c>
      <c r="K21">
        <v>-0.93464736928017234</v>
      </c>
      <c r="L21">
        <v>1.9300279825790379E-4</v>
      </c>
      <c r="M21">
        <v>-0.98581095116571682</v>
      </c>
      <c r="O21">
        <f t="shared" si="0"/>
        <v>-0.21488739196630624</v>
      </c>
    </row>
    <row r="22" spans="1:16" x14ac:dyDescent="0.15">
      <c r="A22" t="s">
        <v>27</v>
      </c>
      <c r="B22">
        <v>-0.92287026537469152</v>
      </c>
      <c r="C22">
        <v>0.1711598706170474</v>
      </c>
      <c r="D22">
        <v>-1.2531889474004021</v>
      </c>
      <c r="E22">
        <v>0.1768035807989834</v>
      </c>
      <c r="F22">
        <v>-0.50412353106959717</v>
      </c>
      <c r="H22" t="s">
        <v>63</v>
      </c>
      <c r="I22">
        <v>1.9095749110525091</v>
      </c>
      <c r="J22">
        <v>-1.3579218954968271</v>
      </c>
      <c r="K22">
        <v>7.1176549423102337E-2</v>
      </c>
      <c r="L22">
        <v>-0.14496437218534841</v>
      </c>
      <c r="M22">
        <v>0.31035575266144311</v>
      </c>
      <c r="O22">
        <f t="shared" si="0"/>
        <v>0.81447928373104028</v>
      </c>
    </row>
    <row r="23" spans="1:16" x14ac:dyDescent="0.15">
      <c r="A23" t="s">
        <v>28</v>
      </c>
      <c r="B23">
        <v>-6.4300263242899502E-2</v>
      </c>
      <c r="C23">
        <v>-2.072163635706982E-2</v>
      </c>
      <c r="D23">
        <v>0.64356289574253855</v>
      </c>
      <c r="E23">
        <v>-0.19275076753273801</v>
      </c>
      <c r="F23">
        <v>5.7128783854134099E-2</v>
      </c>
      <c r="H23" t="s">
        <v>64</v>
      </c>
      <c r="I23">
        <v>-0.1222059574765284</v>
      </c>
      <c r="J23">
        <v>-1.269322626559485</v>
      </c>
      <c r="K23">
        <v>-0.92391250570569261</v>
      </c>
      <c r="L23">
        <v>1.2097928936622719</v>
      </c>
      <c r="M23">
        <v>-0.48169435022813278</v>
      </c>
      <c r="O23">
        <f t="shared" si="0"/>
        <v>-0.5388231340822669</v>
      </c>
      <c r="P23">
        <v>63070</v>
      </c>
    </row>
    <row r="24" spans="1:16" x14ac:dyDescent="0.15">
      <c r="A24" t="s">
        <v>29</v>
      </c>
      <c r="B24">
        <v>0.62786973111051592</v>
      </c>
      <c r="C24">
        <v>0.97342118324404481</v>
      </c>
      <c r="D24">
        <v>0.1469769273615267</v>
      </c>
      <c r="E24">
        <v>-0.75560269495459076</v>
      </c>
      <c r="F24">
        <v>0.50252029070920323</v>
      </c>
      <c r="H24" t="s">
        <v>65</v>
      </c>
      <c r="I24">
        <v>1.019763688490684</v>
      </c>
      <c r="J24">
        <v>-1.341047198438198</v>
      </c>
      <c r="K24">
        <v>0.1856228682873145</v>
      </c>
      <c r="L24">
        <v>-0.36990350606626798</v>
      </c>
      <c r="M24">
        <v>-4.0191904374728971E-2</v>
      </c>
      <c r="O24">
        <f t="shared" si="0"/>
        <v>-0.5427121950839322</v>
      </c>
      <c r="P24">
        <v>15450</v>
      </c>
    </row>
    <row r="25" spans="1:16" x14ac:dyDescent="0.15">
      <c r="A25" t="s">
        <v>30</v>
      </c>
      <c r="B25">
        <v>0.42947259924760489</v>
      </c>
      <c r="C25">
        <v>-0.208414712407786</v>
      </c>
      <c r="D25">
        <v>0.39997714900948972</v>
      </c>
      <c r="E25">
        <v>-0.73995327514445086</v>
      </c>
      <c r="F25">
        <v>8.8271762967099682E-2</v>
      </c>
      <c r="H25" t="s">
        <v>66</v>
      </c>
      <c r="I25">
        <v>1.3518033540038119</v>
      </c>
      <c r="J25">
        <v>-1.087043082514294</v>
      </c>
      <c r="K25">
        <v>-9.9161026155513671E-2</v>
      </c>
      <c r="L25">
        <v>-0.52025008604751877</v>
      </c>
      <c r="M25">
        <v>0.10688008865860769</v>
      </c>
      <c r="O25">
        <f t="shared" si="0"/>
        <v>1.8608325691508013E-2</v>
      </c>
      <c r="P25">
        <v>68250</v>
      </c>
    </row>
    <row r="26" spans="1:16" x14ac:dyDescent="0.15">
      <c r="A26" t="s">
        <v>31</v>
      </c>
      <c r="B26">
        <v>-1.250765809845076</v>
      </c>
      <c r="C26">
        <v>-0.39345814745909963</v>
      </c>
      <c r="D26">
        <v>-0.78675844924026983</v>
      </c>
      <c r="E26">
        <v>0.14533485389921941</v>
      </c>
      <c r="F26">
        <v>-0.73881636327958855</v>
      </c>
      <c r="H26" t="s">
        <v>67</v>
      </c>
      <c r="I26">
        <v>-3.7054879560263982E-3</v>
      </c>
      <c r="J26">
        <v>0.72607909837658502</v>
      </c>
      <c r="K26">
        <v>-1.4915430005859049</v>
      </c>
      <c r="L26">
        <v>1.216970544677729</v>
      </c>
      <c r="M26">
        <v>0.1120241742401786</v>
      </c>
      <c r="O26">
        <f t="shared" si="0"/>
        <v>0.85084053751976718</v>
      </c>
    </row>
    <row r="27" spans="1:16" x14ac:dyDescent="0.15">
      <c r="A27" t="s">
        <v>32</v>
      </c>
      <c r="B27">
        <v>-0.52687510242482649</v>
      </c>
      <c r="C27">
        <v>-0.31740846804369099</v>
      </c>
      <c r="D27">
        <v>0.83316891712538754</v>
      </c>
      <c r="E27">
        <v>-0.46422194054240662</v>
      </c>
      <c r="F27">
        <v>-0.21851563088428591</v>
      </c>
      <c r="H27" t="s">
        <v>68</v>
      </c>
      <c r="I27">
        <v>0.76643757276337787</v>
      </c>
      <c r="J27">
        <v>0.78694113208910876</v>
      </c>
      <c r="K27">
        <v>0.24371474509708591</v>
      </c>
      <c r="L27">
        <v>0.55697090014468598</v>
      </c>
      <c r="M27">
        <v>0.65985301743162961</v>
      </c>
      <c r="O27">
        <f t="shared" si="0"/>
        <v>0.87836864831591555</v>
      </c>
      <c r="P27">
        <v>55300000</v>
      </c>
    </row>
    <row r="28" spans="1:16" x14ac:dyDescent="0.15">
      <c r="A28" t="s">
        <v>33</v>
      </c>
      <c r="B28">
        <v>-0.95388098952925948</v>
      </c>
      <c r="C28">
        <v>0.17722067341354339</v>
      </c>
      <c r="D28">
        <v>0.94804421006087536</v>
      </c>
      <c r="E28">
        <v>-0.82965475031332758</v>
      </c>
      <c r="F28">
        <v>-0.24814932265475931</v>
      </c>
      <c r="H28" t="s">
        <v>69</v>
      </c>
      <c r="I28">
        <v>-0.1152948610031089</v>
      </c>
      <c r="J28">
        <v>1.052931163747914</v>
      </c>
      <c r="K28">
        <v>0.38318790881424691</v>
      </c>
      <c r="L28">
        <v>0.46698287426835189</v>
      </c>
      <c r="M28">
        <v>0.41220512388201369</v>
      </c>
      <c r="O28">
        <f t="shared" si="0"/>
        <v>0.660354446536773</v>
      </c>
      <c r="P28">
        <v>46400000</v>
      </c>
    </row>
    <row r="29" spans="1:16" x14ac:dyDescent="0.15">
      <c r="A29" t="s">
        <v>34</v>
      </c>
      <c r="B29">
        <v>-2.800650617607388</v>
      </c>
      <c r="C29">
        <v>-1.124560672918939</v>
      </c>
      <c r="D29">
        <v>0.60684214774367384</v>
      </c>
      <c r="E29">
        <v>-0.43677475057043941</v>
      </c>
      <c r="F29">
        <v>-1.4106867557539431</v>
      </c>
      <c r="H29" t="s">
        <v>70</v>
      </c>
      <c r="I29">
        <v>-2.8191380014895122</v>
      </c>
      <c r="J29">
        <v>-0.91141647019492933</v>
      </c>
      <c r="K29">
        <v>0.70261806476289612</v>
      </c>
      <c r="L29">
        <v>-0.2989231188485767</v>
      </c>
      <c r="M29">
        <v>-1.317375187800252</v>
      </c>
      <c r="O29">
        <f t="shared" si="0"/>
        <v>9.331156795369111E-2</v>
      </c>
    </row>
    <row r="30" spans="1:16" x14ac:dyDescent="0.15">
      <c r="A30" t="s">
        <v>35</v>
      </c>
      <c r="B30">
        <v>-0.97739722030014187</v>
      </c>
      <c r="C30">
        <v>1.149429764743414</v>
      </c>
      <c r="D30">
        <v>-0.41799957378276842</v>
      </c>
      <c r="E30">
        <v>1.295240494113977</v>
      </c>
      <c r="F30">
        <v>5.8233529872492779E-2</v>
      </c>
      <c r="H30" t="s">
        <v>71</v>
      </c>
      <c r="I30">
        <v>-0.40430653324640142</v>
      </c>
      <c r="J30">
        <v>2.1947499280187159</v>
      </c>
      <c r="K30">
        <v>-1.2166313899874299</v>
      </c>
      <c r="L30">
        <v>1.3835773202917641</v>
      </c>
      <c r="M30">
        <v>0.49386381428889359</v>
      </c>
      <c r="O30">
        <f t="shared" si="0"/>
        <v>0.43563028441640084</v>
      </c>
      <c r="P30">
        <v>14970000</v>
      </c>
    </row>
    <row r="31" spans="1:16" x14ac:dyDescent="0.15">
      <c r="A31" t="s">
        <v>36</v>
      </c>
      <c r="B31">
        <v>0.50593999350393415</v>
      </c>
      <c r="C31">
        <v>0.41342917154255671</v>
      </c>
      <c r="D31">
        <v>1.84153867048623</v>
      </c>
      <c r="E31">
        <v>1.598728159801438</v>
      </c>
      <c r="F31">
        <v>0.82746350210232511</v>
      </c>
      <c r="H31" t="s">
        <v>72</v>
      </c>
      <c r="I31">
        <v>0.67883061268477907</v>
      </c>
      <c r="J31">
        <v>2.7104424344967342</v>
      </c>
      <c r="K31">
        <v>-0.47381056655464282</v>
      </c>
      <c r="L31">
        <v>-0.32104649668608343</v>
      </c>
      <c r="M31">
        <v>1.0247512501359219</v>
      </c>
      <c r="O31">
        <f t="shared" si="0"/>
        <v>0.19728774803359683</v>
      </c>
      <c r="P31">
        <v>14070000</v>
      </c>
    </row>
    <row r="32" spans="1:16" x14ac:dyDescent="0.15">
      <c r="A32" t="s">
        <v>37</v>
      </c>
      <c r="B32">
        <v>0.25479115255543172</v>
      </c>
      <c r="C32">
        <v>-0.39294799748726578</v>
      </c>
      <c r="D32">
        <v>0.76961063339706559</v>
      </c>
      <c r="E32">
        <v>0.33799898056505462</v>
      </c>
      <c r="F32">
        <v>0.14357306837465381</v>
      </c>
      <c r="H32" t="s">
        <v>73</v>
      </c>
      <c r="I32">
        <v>0.50766352456165331</v>
      </c>
      <c r="J32">
        <v>1.266854839694934</v>
      </c>
      <c r="K32">
        <v>-0.15460013741602349</v>
      </c>
      <c r="L32">
        <v>-0.47946398277269242</v>
      </c>
      <c r="M32">
        <v>0.52876290494165068</v>
      </c>
      <c r="O32">
        <f t="shared" si="0"/>
        <v>0.3851898365669969</v>
      </c>
      <c r="P32">
        <v>10820000</v>
      </c>
    </row>
    <row r="33" spans="1:16" x14ac:dyDescent="0.15">
      <c r="A33" t="s">
        <v>38</v>
      </c>
      <c r="B33">
        <v>1.5534785583026269</v>
      </c>
      <c r="C33">
        <v>-6.6139862684397921E-2</v>
      </c>
      <c r="D33">
        <v>8.2199035051909536E-2</v>
      </c>
      <c r="E33">
        <v>-1.661279372163579</v>
      </c>
      <c r="F33">
        <v>0.41975215660118281</v>
      </c>
      <c r="H33" t="s">
        <v>74</v>
      </c>
      <c r="I33">
        <v>0.57756574956771511</v>
      </c>
      <c r="J33">
        <v>1.169203455546141</v>
      </c>
      <c r="K33">
        <v>0.28054800424771142</v>
      </c>
      <c r="L33">
        <v>-8.4998165663143499E-2</v>
      </c>
      <c r="M33">
        <v>0.64356057763542529</v>
      </c>
      <c r="O33">
        <f t="shared" si="0"/>
        <v>0.22380842103424248</v>
      </c>
    </row>
    <row r="34" spans="1:16" x14ac:dyDescent="0.15">
      <c r="A34" t="s">
        <v>39</v>
      </c>
      <c r="B34">
        <v>-1.796013962218326</v>
      </c>
      <c r="C34">
        <v>-0.12509180481429541</v>
      </c>
      <c r="D34">
        <v>-0.12231055801443021</v>
      </c>
      <c r="E34">
        <v>0.26849348454573152</v>
      </c>
      <c r="F34">
        <v>-0.73912070155804543</v>
      </c>
      <c r="H34" t="s">
        <v>75</v>
      </c>
      <c r="I34">
        <v>0.43423469776355911</v>
      </c>
      <c r="J34">
        <v>1.25815583929514</v>
      </c>
      <c r="K34">
        <v>-1.0774827494457131</v>
      </c>
      <c r="L34">
        <v>-1.443967882915719</v>
      </c>
      <c r="M34">
        <v>0.23089522986670449</v>
      </c>
      <c r="O34">
        <f t="shared" si="0"/>
        <v>0.97001593142474996</v>
      </c>
    </row>
    <row r="35" spans="1:16" x14ac:dyDescent="0.15">
      <c r="A35" t="s">
        <v>40</v>
      </c>
      <c r="B35">
        <v>1.465381291888349E-3</v>
      </c>
      <c r="C35">
        <v>-0.1237477876825801</v>
      </c>
      <c r="D35">
        <v>1.057141602902214</v>
      </c>
      <c r="E35">
        <v>-0.31197763580974741</v>
      </c>
      <c r="F35">
        <v>0.10760908745151079</v>
      </c>
      <c r="H35" t="s">
        <v>76</v>
      </c>
      <c r="I35">
        <v>1.382710881907631</v>
      </c>
      <c r="J35">
        <v>3.0814836912176031</v>
      </c>
      <c r="K35">
        <v>-1.309056532484272</v>
      </c>
      <c r="L35">
        <v>-0.2200389130087165</v>
      </c>
      <c r="M35">
        <v>1.289480429581771</v>
      </c>
      <c r="O35">
        <f t="shared" si="0"/>
        <v>1.1818713421302602</v>
      </c>
      <c r="P35">
        <v>54140000</v>
      </c>
    </row>
    <row r="36" spans="1:16" x14ac:dyDescent="0.15">
      <c r="A36" t="s">
        <v>41</v>
      </c>
      <c r="B36">
        <v>-1.419305615319016</v>
      </c>
      <c r="C36">
        <v>0.48905643113178288</v>
      </c>
      <c r="D36">
        <v>-0.66796802847065717</v>
      </c>
      <c r="E36">
        <v>0.28497057274206761</v>
      </c>
      <c r="F36">
        <v>-0.48450420927589488</v>
      </c>
      <c r="H36" t="s">
        <v>77</v>
      </c>
      <c r="I36">
        <v>-1.3186407837430481</v>
      </c>
      <c r="J36">
        <v>1.98262056717456</v>
      </c>
      <c r="K36">
        <v>-0.43673813792119698</v>
      </c>
      <c r="L36">
        <v>1.0470960207351581</v>
      </c>
      <c r="M36">
        <v>0.16172840212062861</v>
      </c>
      <c r="O36">
        <f t="shared" si="0"/>
        <v>0.64623261139652355</v>
      </c>
      <c r="P36">
        <v>50680000</v>
      </c>
    </row>
    <row r="37" spans="1:16" x14ac:dyDescent="0.15">
      <c r="A37" t="s">
        <v>42</v>
      </c>
      <c r="B37">
        <v>-1.737991096695797</v>
      </c>
      <c r="C37">
        <v>-0.42403771919543382</v>
      </c>
      <c r="D37">
        <v>0.13558497280230161</v>
      </c>
      <c r="E37">
        <v>0.55932137034821605</v>
      </c>
      <c r="F37">
        <v>-0.73596956970891214</v>
      </c>
      <c r="H37" t="s">
        <v>78</v>
      </c>
      <c r="I37">
        <v>-0.17269639192860889</v>
      </c>
      <c r="J37">
        <v>0.6090085612638072</v>
      </c>
      <c r="K37">
        <v>1.626591528480503</v>
      </c>
      <c r="L37">
        <v>-0.2546489902436283</v>
      </c>
      <c r="M37">
        <v>0.3796845276287571</v>
      </c>
      <c r="O37">
        <f t="shared" si="0"/>
        <v>1.1156540973376692</v>
      </c>
      <c r="P37">
        <v>65380000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student11</cp:lastModifiedBy>
  <dcterms:created xsi:type="dcterms:W3CDTF">2026-01-27T15:26:29Z</dcterms:created>
  <dcterms:modified xsi:type="dcterms:W3CDTF">2026-01-27T15:32:23Z</dcterms:modified>
</cp:coreProperties>
</file>