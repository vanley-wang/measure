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<sst xmlns="http://schemas.openxmlformats.org/spreadsheetml/2006/main" count="37" uniqueCount="37">
  <si>
    <t>白芍浓度</t>
  </si>
  <si>
    <t>Name</t>
  </si>
  <si>
    <t>差值</t>
  </si>
  <si>
    <t>ATP</t>
  </si>
  <si>
    <t>均值</t>
  </si>
  <si>
    <t>B3</t>
  </si>
  <si>
    <t>B4</t>
  </si>
  <si>
    <t>B5</t>
  </si>
  <si>
    <t>G3</t>
  </si>
  <si>
    <t>G4</t>
  </si>
  <si>
    <t>G5</t>
  </si>
  <si>
    <t>B6</t>
  </si>
  <si>
    <t>B7</t>
  </si>
  <si>
    <t>B8</t>
  </si>
  <si>
    <t>G6</t>
  </si>
  <si>
    <t>G7</t>
  </si>
  <si>
    <t>G8</t>
  </si>
  <si>
    <t>B9</t>
  </si>
  <si>
    <t>B10</t>
  </si>
  <si>
    <t>G9</t>
  </si>
  <si>
    <t>G10</t>
  </si>
  <si>
    <t>G11</t>
  </si>
  <si>
    <t>NC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</si>
  <si>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</si>
  <si>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</si>
  <si>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</si>
  <si>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</si>
  <si>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</si>
  <si>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</si>
  <si>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</si>
  <si>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</si>
  <si>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</si>
  <si>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</si>
  <si>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B11</t>
  </si>
  <si>
    <t>C11</t>
  </si>
  <si>
    <t>D11</t>
  </si>
  <si>
    <t>E11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</si>
</sst>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1"/>
      <name val="等线"/>
    </font>
    <font>
      <b/>
      <sz val="11"/>
      <name val="宋体"/>
    </font>
    <font>
      <color rgb="FFFF0000"/>
      <sz val="11"/>
      <name val="等线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FormatPr defaultRowHeight="15" outlineLevelRow="0" outlineLevelCol="0" x14ac:dyDescent="55"/>
  <cols>
    <col min="1" max="1" width="18.714285714285715" customWidth="1"/>
    <col min="2" max="2" width="13.571428571428571" customWidth="1"/>
    <col min="3" max="3" width="13.857142857142858" customWidth="1"/>
    <col min="4" max="4" width="14.142857142857142" customWidth="1"/>
    <col min="5" max="5" width="14.428571428571429" customWidth="1"/>
    <col min="6" max="24" width="13.571428571428571" customWidth="1"/>
  </cols>
  <sheetData>
    <row r="1" spans="1:7" x14ac:dyDescent="0.25">
      <c r="A1" s="1" t="s">
        <v>0</v>
      </c>
      <c r="B1" s="2" t="s">
        <v>1</v>
      </c>
      <c r="C1" s="2">
        <v>20230701</v>
      </c>
      <c r="D1" s="2">
        <v>20230703</v>
      </c>
      <c r="E1" s="2" t="s">
        <v>2</v>
      </c>
      <c r="F1" s="2" t="s">
        <v>3</v>
      </c>
      <c r="G1" s="2" t="s">
        <v>4</v>
      </c>
    </row>
    <row r="2" spans="1:7" x14ac:dyDescent="0.25">
      <c r="A2" s="3">
        <v>150</v>
      </c>
      <c r="B2" s="3" t="s">
        <v>5</v>
      </c>
      <c r="C2" s="4">
        <v>0.256182969266699</v>
      </c>
      <c r="D2" s="4">
        <v>-1.500348932584401</v>
      </c>
      <c r="E2" s="4">
        <f>D2-C2</f>
      </c>
      <c r="F2" s="1">
        <v>1780000</v>
      </c>
      <c r="G2" s="1"/>
    </row>
    <row r="3" spans="1:11" x14ac:dyDescent="0.25">
      <c r="A3" s="3"/>
      <c r="B3" s="3" t="s">
        <v>6</v>
      </c>
      <c r="C3" s="4">
        <v>-0.4754708896779426</v>
      </c>
      <c r="D3" s="4">
        <v>-1.240820805527615</v>
      </c>
      <c r="E3" s="4">
        <f>D3-C3</f>
      </c>
      <c r="F3" s="5">
        <v>3113000</v>
      </c>
      <c r="G3" s="1"/>
      <c r="J3">
        <f>PEARSON(D2:D33,F2:F33)</f>
      </c>
      <c r="K3">
        <f>PEARSON(F2:F33,E2:E33)</f>
      </c>
    </row>
    <row r="4" spans="1:7" x14ac:dyDescent="0.25">
      <c r="A4" s="3"/>
      <c r="B4" s="3" t="s">
        <v>7</v>
      </c>
      <c r="C4" s="4">
        <v>-0.006576873185634075</v>
      </c>
      <c r="D4" s="4">
        <v>-0.9266853614537869</v>
      </c>
      <c r="E4" s="4">
        <f>D4-C4</f>
      </c>
      <c r="F4" s="1">
        <v>1647000</v>
      </c>
      <c r="G4" s="1"/>
    </row>
    <row r="5" spans="1:7" x14ac:dyDescent="0.25">
      <c r="A5" s="3"/>
      <c r="B5" s="3" t="s">
        <v>8</v>
      </c>
      <c r="C5" s="4">
        <v>0.1980301655436195</v>
      </c>
      <c r="D5" s="4">
        <v>1.263921667253977</v>
      </c>
      <c r="E5" s="4">
        <f>D5-C5</f>
      </c>
      <c r="F5" s="5">
        <v>3397000</v>
      </c>
      <c r="G5" s="1">
        <v>-0.823078593</v>
      </c>
    </row>
    <row r="6" spans="1:11" x14ac:dyDescent="0.25">
      <c r="A6" s="3"/>
      <c r="B6" s="3" t="s">
        <v>9</v>
      </c>
      <c r="C6" s="4">
        <v>1.336862415126195</v>
      </c>
      <c r="D6" s="4">
        <v>-0.08327933042123536</v>
      </c>
      <c r="E6" s="4">
        <f>D6-C6</f>
      </c>
      <c r="F6" s="1">
        <v>2840000</v>
      </c>
      <c r="G6" s="1"/>
      <c r="K6">
        <f>PEARSON(E2:E33,F2:F33)</f>
      </c>
    </row>
    <row r="7" spans="1:11" x14ac:dyDescent="0.25">
      <c r="A7" s="3"/>
      <c r="B7" s="3" t="s">
        <v>10</v>
      </c>
      <c r="C7" s="4">
        <v>0.926635335893808</v>
      </c>
      <c r="D7" s="4">
        <v>-0.215595673018481</v>
      </c>
      <c r="E7" s="4">
        <f>D7-C7</f>
      </c>
      <c r="F7" s="1">
        <v>2002000</v>
      </c>
      <c r="G7" s="1"/>
      <c r="K7">
        <f>PEARSON(E2:E19,F2:F19)</f>
      </c>
    </row>
    <row r="8" spans="1:11" x14ac:dyDescent="0.25">
      <c r="A8" s="3">
        <v>225</v>
      </c>
      <c r="B8" s="3" t="s">
        <v>11</v>
      </c>
      <c r="C8" s="4">
        <v>-0.08601007846874387</v>
      </c>
      <c r="D8" s="4">
        <v>-1.113914624993864</v>
      </c>
      <c r="E8" s="4">
        <f>D8-C8</f>
      </c>
      <c r="F8" s="1">
        <v>2658000</v>
      </c>
      <c r="G8" s="1"/>
      <c r="K8">
        <f>PEARSON(E20:E33,F20:F33)</f>
      </c>
    </row>
    <row r="9" spans="1:7" x14ac:dyDescent="0.25">
      <c r="A9" s="3"/>
      <c r="B9" s="3" t="s">
        <v>12</v>
      </c>
      <c r="C9" s="4">
        <v>2.850232745474191</v>
      </c>
      <c r="D9" s="4">
        <v>0.7763182767375447</v>
      </c>
      <c r="E9" s="4">
        <f>D9-C9</f>
      </c>
      <c r="F9" s="1">
        <v>2197000</v>
      </c>
      <c r="G9" s="1"/>
    </row>
    <row r="10" spans="1:7" x14ac:dyDescent="0.25">
      <c r="A10" s="3"/>
      <c r="B10" s="3" t="s">
        <v>13</v>
      </c>
      <c r="C10" s="4">
        <v>1.741293864877596</v>
      </c>
      <c r="D10" s="4">
        <v>-0.8362472811834745</v>
      </c>
      <c r="E10" s="4">
        <f>D10-C10</f>
      </c>
      <c r="F10" s="1">
        <v>2499000</v>
      </c>
      <c r="G10" s="1">
        <v>-1.746328929</v>
      </c>
    </row>
    <row r="11" spans="1:7" x14ac:dyDescent="0.25">
      <c r="A11" s="3"/>
      <c r="B11" s="3" t="s">
        <v>14</v>
      </c>
      <c r="C11" s="4">
        <v>0.666309580822486</v>
      </c>
      <c r="D11" s="4">
        <v>-1.007106155543536</v>
      </c>
      <c r="E11" s="4">
        <f>D11-C11</f>
      </c>
      <c r="F11" s="5">
        <v>3192000</v>
      </c>
      <c r="G11" s="1"/>
    </row>
    <row r="12" spans="1:7" x14ac:dyDescent="0.25">
      <c r="A12" s="3"/>
      <c r="B12" s="3" t="s">
        <v>15</v>
      </c>
      <c r="C12" s="4">
        <v>0.4340938861119608</v>
      </c>
      <c r="D12" s="4">
        <v>-0.9336842899901215</v>
      </c>
      <c r="E12" s="4">
        <f>D12-C12</f>
      </c>
      <c r="F12" s="5">
        <v>4570000</v>
      </c>
      <c r="G12" s="1"/>
    </row>
    <row r="13" spans="1:7" x14ac:dyDescent="0.25">
      <c r="A13" s="3"/>
      <c r="B13" s="3" t="s">
        <v>16</v>
      </c>
      <c r="C13" s="4">
        <v>0.9856743631388963</v>
      </c>
      <c r="D13" s="4">
        <v>-0.7717451351505132</v>
      </c>
      <c r="E13" s="4">
        <f>D13-C13</f>
      </c>
      <c r="F13" s="1">
        <v>1822000</v>
      </c>
      <c r="G13" s="1"/>
    </row>
    <row r="14" spans="1:7" x14ac:dyDescent="0.25">
      <c r="A14" s="3">
        <v>300</v>
      </c>
      <c r="B14" s="3" t="s">
        <v>17</v>
      </c>
      <c r="C14" s="4">
        <v>0.409276310466116</v>
      </c>
      <c r="D14" s="4">
        <v>-1.87256279253764</v>
      </c>
      <c r="E14" s="4">
        <f>D14-C14</f>
      </c>
      <c r="F14" s="5">
        <v>4212000</v>
      </c>
      <c r="G14" s="1"/>
    </row>
    <row r="15" spans="1:7" x14ac:dyDescent="0.25">
      <c r="A15" s="3"/>
      <c r="B15" s="3" t="s">
        <v>18</v>
      </c>
      <c r="C15" s="4">
        <v>1.10895470036196</v>
      </c>
      <c r="D15" s="4">
        <v>-1.292305322077515</v>
      </c>
      <c r="E15" s="4">
        <f>D15-C15</f>
      </c>
      <c r="F15" s="5">
        <v>4482000</v>
      </c>
      <c r="G15" s="1"/>
    </row>
    <row r="16" spans="1:7" x14ac:dyDescent="0.25">
      <c r="A16" s="3"/>
      <c r="B16" s="3" t="s">
        <v>19</v>
      </c>
      <c r="C16" s="4">
        <v>1.125643031019643</v>
      </c>
      <c r="D16" s="4">
        <v>-1.404389660946482</v>
      </c>
      <c r="E16" s="4">
        <f>D16-C16</f>
      </c>
      <c r="F16" s="1">
        <v>2974000</v>
      </c>
      <c r="G16" s="1"/>
    </row>
    <row r="17" spans="1:7" x14ac:dyDescent="0.25">
      <c r="A17" s="3"/>
      <c r="B17" s="3" t="s">
        <v>20</v>
      </c>
      <c r="C17" s="4">
        <v>0.902541294223381</v>
      </c>
      <c r="D17" s="4">
        <v>-1.498074131725278</v>
      </c>
      <c r="E17" s="4">
        <f>D17-C17</f>
      </c>
      <c r="F17" s="1">
        <v>1661000</v>
      </c>
      <c r="G17" s="1"/>
    </row>
    <row r="18" spans="1:7" x14ac:dyDescent="0.25">
      <c r="A18" s="3"/>
      <c r="B18" s="3" t="s">
        <v>21</v>
      </c>
      <c r="C18" s="4">
        <v>0.1327855455956845</v>
      </c>
      <c r="D18" s="4">
        <v>-1.371181455935344</v>
      </c>
      <c r="E18" s="4">
        <f>D18-C18</f>
      </c>
      <c r="F18" s="1">
        <v>2941000</v>
      </c>
      <c r="G18" s="1"/>
    </row>
    <row r="19" spans="1:7" x14ac:dyDescent="0.25">
      <c r="A19" s="3" t="s">
        <v>22</v>
      </c>
      <c r="B19" s="6" t="s">
        <v>23</v>
      </c>
      <c r="C19" s="4">
        <v>0.166850125053655</v>
      </c>
      <c r="D19" s="4">
        <v>3.585687022859879</v>
      </c>
      <c r="E19" s="7">
        <v>3.418836897806224</v>
      </c>
      <c r="F19" s="8">
        <v>26980000</v>
      </c>
      <c r="G19" s="1"/>
    </row>
    <row r="20" spans="1:7" x14ac:dyDescent="0.25">
      <c r="A20" s="3"/>
      <c r="B20" s="6" t="s">
        <v>24</v>
      </c>
      <c r="C20" s="4">
        <v>-1.065695675660415</v>
      </c>
      <c r="D20" s="4">
        <v>0.7044520574846617</v>
      </c>
      <c r="E20" s="7">
        <v>1.7701477331450768</v>
      </c>
      <c r="F20" s="6">
        <v>14110000</v>
      </c>
      <c r="G20" s="1"/>
    </row>
    <row r="21" spans="1:7" x14ac:dyDescent="0.25">
      <c r="A21" s="3"/>
      <c r="B21" s="6" t="s">
        <v>25</v>
      </c>
      <c r="C21" s="4">
        <v>-0.3316171593537828</v>
      </c>
      <c r="D21" s="4">
        <v>1.494775643123851</v>
      </c>
      <c r="E21" s="7">
        <v>1.826392802477634</v>
      </c>
      <c r="F21" s="6">
        <v>13740000</v>
      </c>
      <c r="G21" s="1"/>
    </row>
    <row r="22" spans="1:7" x14ac:dyDescent="0.25">
      <c r="A22" s="3"/>
      <c r="B22" s="6" t="s">
        <v>26</v>
      </c>
      <c r="C22" s="4">
        <v>-0.5824394562752082</v>
      </c>
      <c r="D22" s="4">
        <v>0.9818646818916387</v>
      </c>
      <c r="E22" s="7">
        <v>1.5643041381668468</v>
      </c>
      <c r="F22" s="6">
        <v>17250000</v>
      </c>
      <c r="G22" s="1"/>
    </row>
    <row r="23" spans="1:7" x14ac:dyDescent="0.25">
      <c r="A23" s="3"/>
      <c r="B23" s="6" t="s">
        <v>27</v>
      </c>
      <c r="C23" s="4">
        <v>-0.8722136041771134</v>
      </c>
      <c r="D23" s="4">
        <v>2.99198872164146</v>
      </c>
      <c r="E23" s="7">
        <v>3.8642023258185736</v>
      </c>
      <c r="F23" s="8">
        <v>20320000</v>
      </c>
      <c r="G23" s="1"/>
    </row>
    <row r="24" spans="1:7" x14ac:dyDescent="0.25">
      <c r="A24" s="3"/>
      <c r="B24" s="6" t="s">
        <v>28</v>
      </c>
      <c r="C24" s="4">
        <v>-0.9120751307761837</v>
      </c>
      <c r="D24" s="4">
        <v>2.124234356773409</v>
      </c>
      <c r="E24" s="7">
        <v>3.036309487549593</v>
      </c>
      <c r="F24" s="8">
        <v>20000000</v>
      </c>
      <c r="G24" s="1"/>
    </row>
    <row r="25" spans="1:7" x14ac:dyDescent="0.25">
      <c r="A25" s="3"/>
      <c r="B25" s="6" t="s">
        <v>29</v>
      </c>
      <c r="C25" s="4">
        <v>-0.8842007718004521</v>
      </c>
      <c r="D25" s="4">
        <v>3.22003133267805</v>
      </c>
      <c r="E25" s="7">
        <v>4.104232104478502</v>
      </c>
      <c r="F25" s="6">
        <v>17170000</v>
      </c>
      <c r="G25" s="1"/>
    </row>
    <row r="26" spans="1:7" x14ac:dyDescent="0.25">
      <c r="A26" s="3"/>
      <c r="B26" s="6" t="s">
        <v>30</v>
      </c>
      <c r="C26" s="4">
        <v>-1.118151148992577</v>
      </c>
      <c r="D26" s="4">
        <v>1.579611177248918</v>
      </c>
      <c r="E26" s="7">
        <v>2.697762326241495</v>
      </c>
      <c r="F26" s="6">
        <v>15830000</v>
      </c>
      <c r="G26" s="1"/>
    </row>
    <row r="27" spans="1:7" x14ac:dyDescent="0.25">
      <c r="A27" s="3"/>
      <c r="B27" s="6" t="s">
        <v>31</v>
      </c>
      <c r="C27" s="4">
        <v>-0.4902074960442078</v>
      </c>
      <c r="D27" s="4">
        <v>4.412307639955237</v>
      </c>
      <c r="E27" s="7">
        <v>4.902515135999445</v>
      </c>
      <c r="F27" s="8">
        <v>21910000</v>
      </c>
      <c r="G27" s="1"/>
    </row>
    <row r="28" spans="1:7" x14ac:dyDescent="0.25">
      <c r="A28" s="3"/>
      <c r="B28" s="6" t="s">
        <v>32</v>
      </c>
      <c r="C28" s="4">
        <v>-1.79811822813399</v>
      </c>
      <c r="D28" s="4">
        <v>1.618087371827098</v>
      </c>
      <c r="E28" s="7">
        <v>3.416205599961088</v>
      </c>
      <c r="F28" s="6">
        <v>14700000</v>
      </c>
      <c r="G28" s="1"/>
    </row>
    <row r="29" spans="1:7" x14ac:dyDescent="0.25">
      <c r="A29" s="3"/>
      <c r="B29" s="6" t="s">
        <v>33</v>
      </c>
      <c r="C29" s="4">
        <v>0.3060310874789185</v>
      </c>
      <c r="D29" s="4">
        <v>2.55744913699432</v>
      </c>
      <c r="E29" s="7">
        <v>2.2514180495154017</v>
      </c>
      <c r="F29" s="8">
        <v>11180000</v>
      </c>
      <c r="G29" s="1"/>
    </row>
    <row r="30" spans="1:7" x14ac:dyDescent="0.25">
      <c r="A30" s="3"/>
      <c r="B30" s="6" t="s">
        <v>34</v>
      </c>
      <c r="C30" s="4">
        <v>-0.1553192415874931</v>
      </c>
      <c r="D30" s="4">
        <v>2.723155490642113</v>
      </c>
      <c r="E30" s="7">
        <v>2.878474732229606</v>
      </c>
      <c r="F30" s="6">
        <v>13930000</v>
      </c>
      <c r="G30" s="1"/>
    </row>
    <row r="31" spans="1:7" x14ac:dyDescent="0.25">
      <c r="A31" s="3"/>
      <c r="B31" s="6" t="s">
        <v>35</v>
      </c>
      <c r="C31" s="4">
        <v>-1.004617424688723</v>
      </c>
      <c r="D31" s="4">
        <v>0.3256442622189746</v>
      </c>
      <c r="E31" s="7">
        <v>1.3302616869076975</v>
      </c>
      <c r="F31" s="8">
        <v>11240000</v>
      </c>
      <c r="G31" s="1"/>
    </row>
    <row r="32" spans="1:7" x14ac:dyDescent="0.25">
      <c r="A32" s="3"/>
      <c r="B32" s="6" t="s">
        <v>36</v>
      </c>
      <c r="C32" s="4">
        <v>0.01545244220756459</v>
      </c>
      <c r="D32" s="4">
        <v>1.513386930161503</v>
      </c>
      <c r="E32" s="7">
        <v>1.4979344879539385</v>
      </c>
      <c r="F32" s="6">
        <v>12840000</v>
      </c>
      <c r="G32" s="1"/>
    </row>
  </sheetData>
  <mergeCells count="4">
    <mergeCell ref="A2:A7"/>
    <mergeCell ref="A8:A13"/>
    <mergeCell ref="A14:A18"/>
    <mergeCell ref="A19:A3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2026-09-26T13:32:19Z</dcterms:created>
  <dcterms:modified xsi:type="dcterms:W3CDTF">2026-09-26T13:32:19Z</dcterms:modified>
</cp:coreProperties>
</file>