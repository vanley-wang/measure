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tudent\Private\student11\Measure\Measure_copy\Data\ICC005\"/>
    </mc:Choice>
  </mc:AlternateContent>
  <xr:revisionPtr revIDLastSave="0" documentId="13_ncr:1_{8E8FF60A-B74E-405F-B0A6-707CE719914B}" xr6:coauthVersionLast="47" xr6:coauthVersionMax="47" xr10:uidLastSave="{00000000-0000-0000-0000-000000000000}"/>
  <bookViews>
    <workbookView xWindow="-120" yWindow="-120" windowWidth="29040" windowHeight="15840" xr2:uid="{91A4C021-B535-4F3E-9960-E1B2C4CDBC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" l="1"/>
  <c r="K8" i="1"/>
  <c r="K7" i="1"/>
  <c r="K3" i="1"/>
  <c r="J3" i="1"/>
  <c r="E7" i="1"/>
  <c r="E6" i="1"/>
  <c r="E5" i="1"/>
  <c r="E4" i="1"/>
  <c r="E3" i="1"/>
  <c r="E2" i="1"/>
  <c r="E13" i="1"/>
  <c r="E12" i="1"/>
  <c r="E11" i="1"/>
  <c r="E10" i="1"/>
  <c r="E9" i="1"/>
  <c r="E8" i="1"/>
  <c r="E19" i="1"/>
  <c r="E18" i="1"/>
  <c r="E17" i="1"/>
  <c r="E16" i="1"/>
  <c r="E15" i="1"/>
  <c r="E14" i="1"/>
</calcChain>
</file>

<file path=xl/sharedStrings.xml><?xml version="1.0" encoding="utf-8"?>
<sst xmlns="http://schemas.openxmlformats.org/spreadsheetml/2006/main" count="38" uniqueCount="38">
  <si>
    <t>白芍浓度</t>
    <phoneticPr fontId="3" type="noConversion"/>
  </si>
  <si>
    <t>Name</t>
  </si>
  <si>
    <t>差值</t>
    <phoneticPr fontId="3" type="noConversion"/>
  </si>
  <si>
    <t>ATP</t>
    <phoneticPr fontId="3" type="noConversion"/>
  </si>
  <si>
    <t>均值</t>
    <phoneticPr fontId="3" type="noConversion"/>
  </si>
  <si>
    <t>F3</t>
    <phoneticPr fontId="3" type="noConversion"/>
  </si>
  <si>
    <t>F4</t>
    <phoneticPr fontId="3" type="noConversion"/>
  </si>
  <si>
    <t>F5</t>
    <phoneticPr fontId="3" type="noConversion"/>
  </si>
  <si>
    <t>G3</t>
    <phoneticPr fontId="3" type="noConversion"/>
  </si>
  <si>
    <t>G4</t>
    <phoneticPr fontId="3" type="noConversion"/>
  </si>
  <si>
    <t>G5</t>
    <phoneticPr fontId="3" type="noConversion"/>
  </si>
  <si>
    <t>F6</t>
    <phoneticPr fontId="3" type="noConversion"/>
  </si>
  <si>
    <t>F7</t>
    <phoneticPr fontId="3" type="noConversion"/>
  </si>
  <si>
    <t>F8</t>
    <phoneticPr fontId="3" type="noConversion"/>
  </si>
  <si>
    <t>G6</t>
    <phoneticPr fontId="3" type="noConversion"/>
  </si>
  <si>
    <t>G7</t>
    <phoneticPr fontId="3" type="noConversion"/>
  </si>
  <si>
    <t>G8</t>
    <phoneticPr fontId="3" type="noConversion"/>
  </si>
  <si>
    <t>F9</t>
    <phoneticPr fontId="3" type="noConversion"/>
  </si>
  <si>
    <t>F10</t>
    <phoneticPr fontId="3" type="noConversion"/>
  </si>
  <si>
    <t>F11</t>
    <phoneticPr fontId="3" type="noConversion"/>
  </si>
  <si>
    <t>G9</t>
    <phoneticPr fontId="3" type="noConversion"/>
  </si>
  <si>
    <t>G10</t>
    <phoneticPr fontId="3" type="noConversion"/>
  </si>
  <si>
    <t>G11</t>
    <phoneticPr fontId="3" type="noConversion"/>
  </si>
  <si>
    <t>NC</t>
    <phoneticPr fontId="2" type="noConversion"/>
  </si>
  <si>
    <t>F2</t>
    <phoneticPr fontId="2" type="noConversion"/>
  </si>
  <si>
    <t>F3</t>
    <phoneticPr fontId="2" type="noConversion"/>
  </si>
  <si>
    <t>F4</t>
    <phoneticPr fontId="2" type="noConversion"/>
  </si>
  <si>
    <t>F5</t>
    <phoneticPr fontId="2" type="noConversion"/>
  </si>
  <si>
    <t>F6</t>
    <phoneticPr fontId="2" type="noConversion"/>
  </si>
  <si>
    <t>F7</t>
    <phoneticPr fontId="2" type="noConversion"/>
  </si>
  <si>
    <t>F8</t>
    <phoneticPr fontId="2" type="noConversion"/>
  </si>
  <si>
    <t>F9</t>
    <phoneticPr fontId="2" type="noConversion"/>
  </si>
  <si>
    <t>F10</t>
    <phoneticPr fontId="2" type="noConversion"/>
  </si>
  <si>
    <t>F11</t>
    <phoneticPr fontId="2" type="noConversion"/>
  </si>
  <si>
    <t>B11</t>
    <phoneticPr fontId="2" type="noConversion"/>
  </si>
  <si>
    <t>C11</t>
    <phoneticPr fontId="2" type="noConversion"/>
  </si>
  <si>
    <t>D11</t>
    <phoneticPr fontId="2" type="noConversion"/>
  </si>
  <si>
    <t>E11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</si>
</sst>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7" x14ac:knownFonts="1">
    <font>
      <sz val="11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11"/>
      <name val="宋体"/>
      <family val="3"/>
      <charset val="134"/>
    </font>
    <font>
      <sz val="11"/>
      <color rgb="FFFF0000"/>
      <name val="等线"/>
      <family val="2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/>
    <xf numFmtId="0" fontId="4" fillId="0" borderId="0" xfId="0" applyFont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Alignme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36B42-8B3C-4AB6-B8F2-5C0A68ABBE46}">
  <dimension ref="A1:K33"/>
  <sheetViews>
    <sheetView tabSelected="1" workbookViewId="0">
      <selection activeCell="R12" sqref="R12"/>
    </sheetView>
  </sheetViews>
  <sheetFormatPr defaultRowHeight="14.25" x14ac:dyDescent="0.2"/>
  <cols>
    <col min="1" max="1" width="18.75" customWidth="1"/>
    <col min="3" max="3" width="13.875" customWidth="1"/>
    <col min="4" max="4" width="14.125" customWidth="1"/>
    <col min="5" max="5" width="14.375" bestFit="1" customWidth="1"/>
  </cols>
  <sheetData>
    <row r="1" spans="1:11" x14ac:dyDescent="0.2">
      <c r="A1" s="1" t="s">
        <v>0</v>
      </c>
      <c r="B1" s="2" t="s">
        <v>1</v>
      </c>
      <c r="C1" s="2">
        <v>20230701</v>
      </c>
      <c r="D1" s="2">
        <v>20230703</v>
      </c>
      <c r="E1" s="2" t="s">
        <v>2</v>
      </c>
      <c r="F1" s="2" t="s">
        <v>3</v>
      </c>
      <c r="G1" s="2" t="s">
        <v>4</v>
      </c>
    </row>
    <row r="2" spans="1:11" x14ac:dyDescent="0.2">
      <c r="A2" s="9">
        <v>150</v>
      </c>
      <c r="B2" s="3" t="s">
        <v>5</v>
      </c>
      <c r="C2" s="7">
        <v>0.25618296926669898</v>
      </c>
      <c r="D2" s="7">
        <v>-1.5003489325844011</v>
      </c>
      <c r="E2" s="7">
        <f t="shared" ref="E2:E7" si="0">D2-C2</f>
        <v>-1.7565319018511001</v>
      </c>
      <c r="F2" s="1">
        <v>1780000</v>
      </c>
      <c r="G2" s="1"/>
    </row>
    <row r="3" spans="1:11" x14ac:dyDescent="0.2">
      <c r="A3" s="9"/>
      <c r="B3" s="3" t="s">
        <v>6</v>
      </c>
      <c r="C3" s="7">
        <v>-0.4754708896779426</v>
      </c>
      <c r="D3" s="7">
        <v>-1.2408208055276151</v>
      </c>
      <c r="E3" s="7">
        <f t="shared" si="0"/>
        <v>-0.76534991584967249</v>
      </c>
      <c r="F3" s="4">
        <v>3113000</v>
      </c>
      <c r="G3" s="1"/>
      <c r="J3">
        <f>PEARSON(D2:D33,F2:F33)</f>
        <v>0.87276282158753171</v>
      </c>
      <c r="K3">
        <f>PEARSON(F2:F33,E2:E33)</f>
        <v>0.91691297225160362</v>
      </c>
    </row>
    <row r="4" spans="1:11" x14ac:dyDescent="0.2">
      <c r="A4" s="9"/>
      <c r="B4" s="3" t="s">
        <v>7</v>
      </c>
      <c r="C4" s="7">
        <v>-6.5768731856340754E-3</v>
      </c>
      <c r="D4" s="7">
        <v>-0.92668536145378688</v>
      </c>
      <c r="E4" s="7">
        <f t="shared" si="0"/>
        <v>-0.92010848826815284</v>
      </c>
      <c r="F4" s="1">
        <v>1647000</v>
      </c>
      <c r="G4" s="1"/>
    </row>
    <row r="5" spans="1:11" x14ac:dyDescent="0.2">
      <c r="A5" s="9"/>
      <c r="B5" s="3" t="s">
        <v>8</v>
      </c>
      <c r="C5" s="7">
        <v>0.19803016554361949</v>
      </c>
      <c r="D5" s="7">
        <v>1.263921667253977</v>
      </c>
      <c r="E5" s="7">
        <f t="shared" si="0"/>
        <v>1.0658915017103576</v>
      </c>
      <c r="F5" s="4">
        <v>3397000</v>
      </c>
      <c r="G5" s="1">
        <v>-0.82307859299999997</v>
      </c>
    </row>
    <row r="6" spans="1:11" x14ac:dyDescent="0.2">
      <c r="A6" s="9"/>
      <c r="B6" s="3" t="s">
        <v>9</v>
      </c>
      <c r="C6" s="7">
        <v>1.336862415126195</v>
      </c>
      <c r="D6" s="7">
        <v>-8.3279330421235365E-2</v>
      </c>
      <c r="E6" s="7">
        <f t="shared" si="0"/>
        <v>-1.4201417455474303</v>
      </c>
      <c r="F6" s="1">
        <v>2840000</v>
      </c>
      <c r="G6" s="1"/>
      <c r="K6">
        <f>PEARSON(E2:E33,F2:F33)</f>
        <v>0.91691297225160362</v>
      </c>
    </row>
    <row r="7" spans="1:11" x14ac:dyDescent="0.2">
      <c r="A7" s="9"/>
      <c r="B7" s="3" t="s">
        <v>10</v>
      </c>
      <c r="C7" s="7">
        <v>0.92663533589380798</v>
      </c>
      <c r="D7" s="7">
        <v>-0.21559567301848101</v>
      </c>
      <c r="E7" s="7">
        <f t="shared" si="0"/>
        <v>-1.1422310089122889</v>
      </c>
      <c r="F7" s="1">
        <v>2002000</v>
      </c>
      <c r="G7" s="1"/>
      <c r="K7">
        <f>PEARSON(E2:E19,F2:F19)</f>
        <v>2.4086768812978689E-2</v>
      </c>
    </row>
    <row r="8" spans="1:11" x14ac:dyDescent="0.2">
      <c r="A8" s="9">
        <v>225</v>
      </c>
      <c r="B8" s="3" t="s">
        <v>11</v>
      </c>
      <c r="C8" s="7">
        <v>-8.6010078468743867E-2</v>
      </c>
      <c r="D8" s="7">
        <v>-1.1139146249938641</v>
      </c>
      <c r="E8" s="7">
        <f t="shared" ref="E8:E13" si="1">D8-C8</f>
        <v>-1.0279045465251202</v>
      </c>
      <c r="F8" s="1">
        <v>2658000</v>
      </c>
      <c r="G8" s="1"/>
      <c r="K8">
        <f>PEARSON(E20:E33,F20:F33)</f>
        <v>0.65683248094938373</v>
      </c>
    </row>
    <row r="9" spans="1:11" x14ac:dyDescent="0.2">
      <c r="A9" s="9"/>
      <c r="B9" s="3" t="s">
        <v>12</v>
      </c>
      <c r="C9" s="7">
        <v>2.8502327454741909</v>
      </c>
      <c r="D9" s="7">
        <v>0.77631827673754472</v>
      </c>
      <c r="E9" s="7">
        <f t="shared" si="1"/>
        <v>-2.0739144687366462</v>
      </c>
      <c r="F9" s="1">
        <v>2197000</v>
      </c>
      <c r="G9" s="1"/>
    </row>
    <row r="10" spans="1:11" x14ac:dyDescent="0.2">
      <c r="A10" s="9"/>
      <c r="B10" s="3" t="s">
        <v>13</v>
      </c>
      <c r="C10" s="7">
        <v>1.741293864877596</v>
      </c>
      <c r="D10" s="7">
        <v>-0.83624728118347447</v>
      </c>
      <c r="E10" s="7">
        <f t="shared" si="1"/>
        <v>-2.5775411460610704</v>
      </c>
      <c r="F10" s="1">
        <v>2499000</v>
      </c>
      <c r="G10" s="1">
        <v>-1.7463289289999999</v>
      </c>
    </row>
    <row r="11" spans="1:11" x14ac:dyDescent="0.2">
      <c r="A11" s="9"/>
      <c r="B11" s="3" t="s">
        <v>14</v>
      </c>
      <c r="C11" s="7">
        <v>0.66630958082248604</v>
      </c>
      <c r="D11" s="7">
        <v>-1.0071061555435361</v>
      </c>
      <c r="E11" s="7">
        <f t="shared" si="1"/>
        <v>-1.6734157363660223</v>
      </c>
      <c r="F11" s="4">
        <v>3192000</v>
      </c>
      <c r="G11" s="1"/>
    </row>
    <row r="12" spans="1:11" x14ac:dyDescent="0.2">
      <c r="A12" s="9"/>
      <c r="B12" s="3" t="s">
        <v>15</v>
      </c>
      <c r="C12" s="7">
        <v>0.43409388611196081</v>
      </c>
      <c r="D12" s="7">
        <v>-0.93368428999012154</v>
      </c>
      <c r="E12" s="7">
        <f t="shared" si="1"/>
        <v>-1.3677781761020824</v>
      </c>
      <c r="F12" s="4">
        <v>4570000</v>
      </c>
      <c r="G12" s="1"/>
    </row>
    <row r="13" spans="1:11" x14ac:dyDescent="0.2">
      <c r="A13" s="9"/>
      <c r="B13" s="3" t="s">
        <v>16</v>
      </c>
      <c r="C13" s="7">
        <v>0.98567436313889634</v>
      </c>
      <c r="D13" s="7">
        <v>-0.77174513515051324</v>
      </c>
      <c r="E13" s="7">
        <f t="shared" si="1"/>
        <v>-1.7574194982894096</v>
      </c>
      <c r="F13" s="1">
        <v>1822000</v>
      </c>
      <c r="G13" s="1"/>
    </row>
    <row r="14" spans="1:11" x14ac:dyDescent="0.2">
      <c r="A14" s="9">
        <v>300</v>
      </c>
      <c r="B14" s="3" t="s">
        <v>17</v>
      </c>
      <c r="C14" s="7">
        <v>0.40927631046611601</v>
      </c>
      <c r="D14" s="7">
        <v>-1.87256279253764</v>
      </c>
      <c r="E14" s="7">
        <f t="shared" ref="E14:E19" si="2">D14-C14</f>
        <v>-2.2818391030037559</v>
      </c>
      <c r="F14" s="4">
        <v>4212000</v>
      </c>
      <c r="G14" s="1"/>
    </row>
    <row r="15" spans="1:11" x14ac:dyDescent="0.2">
      <c r="A15" s="9"/>
      <c r="B15" s="3" t="s">
        <v>18</v>
      </c>
      <c r="C15" s="7">
        <v>1.10895470036196</v>
      </c>
      <c r="D15" s="7">
        <v>-1.2923053220775149</v>
      </c>
      <c r="E15" s="7">
        <f t="shared" si="2"/>
        <v>-2.4012600224394749</v>
      </c>
      <c r="F15" s="4">
        <v>4482000</v>
      </c>
      <c r="G15" s="1"/>
    </row>
    <row r="16" spans="1:11" x14ac:dyDescent="0.2">
      <c r="A16" s="9"/>
      <c r="B16" s="3" t="s">
        <v>19</v>
      </c>
      <c r="C16" s="7">
        <v>1.6336911510973859</v>
      </c>
      <c r="D16" s="7">
        <v>-0.1124485085895376</v>
      </c>
      <c r="E16" s="7">
        <f t="shared" si="2"/>
        <v>-1.7461396596869236</v>
      </c>
      <c r="F16" s="1">
        <v>2923000</v>
      </c>
      <c r="G16" s="1">
        <v>-2.1439756509999999</v>
      </c>
    </row>
    <row r="17" spans="1:7" x14ac:dyDescent="0.2">
      <c r="A17" s="9"/>
      <c r="B17" s="3" t="s">
        <v>20</v>
      </c>
      <c r="C17" s="7">
        <v>1.125643031019643</v>
      </c>
      <c r="D17" s="7">
        <v>-1.4043896609464821</v>
      </c>
      <c r="E17" s="7">
        <f t="shared" si="2"/>
        <v>-2.5300326919661251</v>
      </c>
      <c r="F17" s="1">
        <v>2974000</v>
      </c>
      <c r="G17" s="1"/>
    </row>
    <row r="18" spans="1:7" x14ac:dyDescent="0.2">
      <c r="A18" s="9"/>
      <c r="B18" s="3" t="s">
        <v>21</v>
      </c>
      <c r="C18" s="7">
        <v>0.90254129422338103</v>
      </c>
      <c r="D18" s="7">
        <v>-1.4980741317252779</v>
      </c>
      <c r="E18" s="7">
        <f t="shared" si="2"/>
        <v>-2.4006154259486587</v>
      </c>
      <c r="F18" s="1">
        <v>1661000</v>
      </c>
      <c r="G18" s="1"/>
    </row>
    <row r="19" spans="1:7" x14ac:dyDescent="0.2">
      <c r="A19" s="9"/>
      <c r="B19" s="3" t="s">
        <v>22</v>
      </c>
      <c r="C19" s="7">
        <v>0.13278554559568451</v>
      </c>
      <c r="D19" s="7">
        <v>-1.3711814559353439</v>
      </c>
      <c r="E19" s="7">
        <f t="shared" si="2"/>
        <v>-1.5039670015310285</v>
      </c>
      <c r="F19" s="1">
        <v>2941000</v>
      </c>
      <c r="G19" s="1"/>
    </row>
    <row r="20" spans="1:7" x14ac:dyDescent="0.2">
      <c r="A20" s="10" t="s">
        <v>23</v>
      </c>
      <c r="B20" s="5" t="s">
        <v>24</v>
      </c>
      <c r="C20" s="7">
        <v>0.16685012505365501</v>
      </c>
      <c r="D20" s="7">
        <v>3.5856870228598789</v>
      </c>
      <c r="E20" s="8">
        <v>3.4188368978062238</v>
      </c>
      <c r="F20" s="6">
        <v>26980000</v>
      </c>
      <c r="G20" s="1"/>
    </row>
    <row r="21" spans="1:7" x14ac:dyDescent="0.2">
      <c r="A21" s="10"/>
      <c r="B21" s="5" t="s">
        <v>25</v>
      </c>
      <c r="C21" s="7">
        <v>-1.065695675660415</v>
      </c>
      <c r="D21" s="7">
        <v>0.70445205748466166</v>
      </c>
      <c r="E21" s="8">
        <v>1.7701477331450768</v>
      </c>
      <c r="F21" s="5">
        <v>14110000</v>
      </c>
      <c r="G21" s="1"/>
    </row>
    <row r="22" spans="1:7" x14ac:dyDescent="0.2">
      <c r="A22" s="10"/>
      <c r="B22" s="5" t="s">
        <v>26</v>
      </c>
      <c r="C22" s="7">
        <v>-0.33161715935378278</v>
      </c>
      <c r="D22" s="7">
        <v>1.494775643123851</v>
      </c>
      <c r="E22" s="8">
        <v>1.8263928024776339</v>
      </c>
      <c r="F22" s="5">
        <v>13740000</v>
      </c>
      <c r="G22" s="1"/>
    </row>
    <row r="23" spans="1:7" x14ac:dyDescent="0.2">
      <c r="A23" s="10"/>
      <c r="B23" s="5" t="s">
        <v>27</v>
      </c>
      <c r="C23" s="7">
        <v>-0.58243945627520821</v>
      </c>
      <c r="D23" s="7">
        <v>0.98186468189163867</v>
      </c>
      <c r="E23" s="8">
        <v>1.5643041381668468</v>
      </c>
      <c r="F23" s="5">
        <v>17250000</v>
      </c>
      <c r="G23" s="1"/>
    </row>
    <row r="24" spans="1:7" x14ac:dyDescent="0.2">
      <c r="A24" s="10"/>
      <c r="B24" s="5" t="s">
        <v>28</v>
      </c>
      <c r="C24" s="7">
        <v>-0.87221360417711336</v>
      </c>
      <c r="D24" s="7">
        <v>2.99198872164146</v>
      </c>
      <c r="E24" s="8">
        <v>3.8642023258185736</v>
      </c>
      <c r="F24" s="6">
        <v>20320000</v>
      </c>
      <c r="G24" s="1"/>
    </row>
    <row r="25" spans="1:7" x14ac:dyDescent="0.2">
      <c r="A25" s="10"/>
      <c r="B25" s="5" t="s">
        <v>29</v>
      </c>
      <c r="C25" s="7">
        <v>-0.91207513077618374</v>
      </c>
      <c r="D25" s="7">
        <v>2.124234356773409</v>
      </c>
      <c r="E25" s="8">
        <v>3.0363094875495928</v>
      </c>
      <c r="F25" s="6">
        <v>20000000</v>
      </c>
      <c r="G25" s="1"/>
    </row>
    <row r="26" spans="1:7" x14ac:dyDescent="0.2">
      <c r="A26" s="10"/>
      <c r="B26" s="5" t="s">
        <v>30</v>
      </c>
      <c r="C26" s="7">
        <v>-0.88420077180045209</v>
      </c>
      <c r="D26" s="7">
        <v>3.2200313326780501</v>
      </c>
      <c r="E26" s="8">
        <v>4.104232104478502</v>
      </c>
      <c r="F26" s="5">
        <v>17170000</v>
      </c>
      <c r="G26" s="1"/>
    </row>
    <row r="27" spans="1:7" x14ac:dyDescent="0.2">
      <c r="A27" s="10"/>
      <c r="B27" s="5" t="s">
        <v>31</v>
      </c>
      <c r="C27" s="7">
        <v>-1.1181511489925771</v>
      </c>
      <c r="D27" s="7">
        <v>1.5796111772489181</v>
      </c>
      <c r="E27" s="8">
        <v>2.6977623262414951</v>
      </c>
      <c r="F27" s="5">
        <v>15830000</v>
      </c>
      <c r="G27" s="1"/>
    </row>
    <row r="28" spans="1:7" x14ac:dyDescent="0.2">
      <c r="A28" s="10"/>
      <c r="B28" s="5" t="s">
        <v>32</v>
      </c>
      <c r="C28" s="7">
        <v>-0.49020749604420782</v>
      </c>
      <c r="D28" s="7">
        <v>4.4123076399552366</v>
      </c>
      <c r="E28" s="8">
        <v>4.9025151359994448</v>
      </c>
      <c r="F28" s="6">
        <v>21910000</v>
      </c>
      <c r="G28" s="1"/>
    </row>
    <row r="29" spans="1:7" x14ac:dyDescent="0.2">
      <c r="A29" s="10"/>
      <c r="B29" s="5" t="s">
        <v>33</v>
      </c>
      <c r="C29" s="7">
        <v>-1.79811822813399</v>
      </c>
      <c r="D29" s="7">
        <v>1.6180873718270981</v>
      </c>
      <c r="E29" s="8">
        <v>3.4162055999610881</v>
      </c>
      <c r="F29" s="5">
        <v>14700000</v>
      </c>
      <c r="G29" s="1"/>
    </row>
    <row r="30" spans="1:7" x14ac:dyDescent="0.2">
      <c r="A30" s="10"/>
      <c r="B30" s="5" t="s">
        <v>34</v>
      </c>
      <c r="C30" s="7">
        <v>0.3060310874789185</v>
      </c>
      <c r="D30" s="7">
        <v>2.55744913699432</v>
      </c>
      <c r="E30" s="8">
        <v>2.2514180495154017</v>
      </c>
      <c r="F30" s="6">
        <v>11180000</v>
      </c>
      <c r="G30" s="1"/>
    </row>
    <row r="31" spans="1:7" x14ac:dyDescent="0.2">
      <c r="A31" s="10"/>
      <c r="B31" s="5" t="s">
        <v>35</v>
      </c>
      <c r="C31" s="7">
        <v>-0.15531924158749311</v>
      </c>
      <c r="D31" s="7">
        <v>2.7231554906421129</v>
      </c>
      <c r="E31" s="8">
        <v>2.878474732229606</v>
      </c>
      <c r="F31" s="5">
        <v>13930000</v>
      </c>
      <c r="G31" s="1"/>
    </row>
    <row r="32" spans="1:7" x14ac:dyDescent="0.2">
      <c r="A32" s="10"/>
      <c r="B32" s="5" t="s">
        <v>36</v>
      </c>
      <c r="C32" s="7">
        <v>-1.0046174246887229</v>
      </c>
      <c r="D32" s="7">
        <v>0.32564426221897458</v>
      </c>
      <c r="E32" s="8">
        <v>1.3302616869076975</v>
      </c>
      <c r="F32" s="6">
        <v>11240000</v>
      </c>
      <c r="G32" s="1"/>
    </row>
    <row r="33" spans="1:7" x14ac:dyDescent="0.2">
      <c r="A33" s="10"/>
      <c r="B33" s="5" t="s">
        <v>37</v>
      </c>
      <c r="C33" s="7">
        <v>1.5452442207564591E-2</v>
      </c>
      <c r="D33" s="7">
        <v>1.5133869301615031</v>
      </c>
      <c r="E33" s="8">
        <v>1.4979344879539385</v>
      </c>
      <c r="F33" s="5">
        <v>12840000</v>
      </c>
      <c r="G33" s="1"/>
    </row>
  </sheetData>
  <mergeCells count="4">
    <mergeCell ref="A2:A7"/>
    <mergeCell ref="A8:A13"/>
    <mergeCell ref="A14:A19"/>
    <mergeCell ref="A20:A33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student07</dc:creator>
  <cp:lastModifiedBy>student11</cp:lastModifiedBy>
  <dcterms:created xsi:type="dcterms:W3CDTF">2025-04-23T07:01:05Z</dcterms:created>
  <dcterms:modified xsi:type="dcterms:W3CDTF">2025-12-14T09:36:12Z</dcterms:modified>
</cp:coreProperties>
</file>