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filterPrivacy="1"/>
  <xr:revisionPtr revIDLastSave="0" documentId="13_ncr:1_{C847769D-CE4D-446C-A6A6-DE12283C427C}" xr6:coauthVersionLast="47" xr6:coauthVersionMax="47" xr10:uidLastSave="{00000000-0000-0000-0000-000000000000}"/>
  <bookViews>
    <workbookView xWindow="1260" yWindow="6300" windowWidth="28800" windowHeight="154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33" i="1" l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S2" i="1" s="1"/>
  <c r="O5" i="1"/>
  <c r="O4" i="1"/>
  <c r="S3" i="1"/>
  <c r="O3" i="1"/>
  <c r="O2" i="1"/>
</calcChain>
</file>

<file path=xl/sharedStrings.xml><?xml version="1.0" encoding="utf-8"?>
<sst xmlns="http://schemas.openxmlformats.org/spreadsheetml/2006/main" count="79" uniqueCount="74">
  <si>
    <t>Name</t>
  </si>
  <si>
    <t>PC1</t>
  </si>
  <si>
    <t>PC2</t>
  </si>
  <si>
    <t>PC3</t>
  </si>
  <si>
    <t>PC4</t>
  </si>
  <si>
    <t>Result</t>
  </si>
  <si>
    <t>Result1</t>
  </si>
  <si>
    <t>得分差值</t>
  </si>
  <si>
    <t>ATP</t>
  </si>
  <si>
    <t>ATP_郭靖修改</t>
  </si>
  <si>
    <t>B10_0701</t>
  </si>
  <si>
    <t>B10_0703</t>
  </si>
  <si>
    <t>B11_0701</t>
  </si>
  <si>
    <t>B11_0703</t>
  </si>
  <si>
    <t>B2_0701</t>
  </si>
  <si>
    <t>B2_0703</t>
  </si>
  <si>
    <t>B3_0701</t>
  </si>
  <si>
    <t>B3_0703</t>
  </si>
  <si>
    <t>B4_0701</t>
  </si>
  <si>
    <t>B4_0703</t>
  </si>
  <si>
    <t>B5_0701</t>
  </si>
  <si>
    <t>B5_0703</t>
  </si>
  <si>
    <t>B6_0701</t>
  </si>
  <si>
    <t>B6_0703</t>
  </si>
  <si>
    <t>B7_0701</t>
  </si>
  <si>
    <t>B7_0703</t>
  </si>
  <si>
    <t>B8_0701</t>
  </si>
  <si>
    <t>B8_0703</t>
  </si>
  <si>
    <t>B9_0701</t>
  </si>
  <si>
    <t>B9_0703</t>
  </si>
  <si>
    <t>C10_0701</t>
  </si>
  <si>
    <t>C10_0703</t>
  </si>
  <si>
    <t>C11_0701</t>
  </si>
  <si>
    <t>C11_0703</t>
  </si>
  <si>
    <t>C2_0701</t>
  </si>
  <si>
    <t>C2_0703</t>
  </si>
  <si>
    <t>C3_0701</t>
  </si>
  <si>
    <t>C3_0703</t>
  </si>
  <si>
    <t>C4_0701</t>
  </si>
  <si>
    <t>C4_0703</t>
  </si>
  <si>
    <t>C5_0701</t>
  </si>
  <si>
    <t>C5_0703</t>
  </si>
  <si>
    <t>C6_0701</t>
  </si>
  <si>
    <t>C6_0703</t>
  </si>
  <si>
    <t>C7_0701</t>
  </si>
  <si>
    <t>C7_0703</t>
  </si>
  <si>
    <t>C8_0701</t>
  </si>
  <si>
    <t>C8_0703</t>
  </si>
  <si>
    <t>C9_0701</t>
  </si>
  <si>
    <t>C9_0703</t>
  </si>
  <si>
    <t>D11_0701</t>
  </si>
  <si>
    <t>D11_0703</t>
  </si>
  <si>
    <t>E11_0701</t>
  </si>
  <si>
    <t>E11_0703</t>
  </si>
  <si>
    <t>F10_0701</t>
  </si>
  <si>
    <t>F10_0703</t>
  </si>
  <si>
    <t>F11_0701</t>
  </si>
  <si>
    <t>F11_0703</t>
  </si>
  <si>
    <t>F2_0701</t>
  </si>
  <si>
    <t>F2_0703</t>
  </si>
  <si>
    <t>F3_0701</t>
  </si>
  <si>
    <t>F3_0703</t>
  </si>
  <si>
    <t>F4_0701</t>
  </si>
  <si>
    <t>F4_0703</t>
  </si>
  <si>
    <t>F5_0701</t>
  </si>
  <si>
    <t>F5_0703</t>
  </si>
  <si>
    <t>F6_0701</t>
  </si>
  <si>
    <t>F6_0703</t>
  </si>
  <si>
    <t>F7_0701</t>
  </si>
  <si>
    <t>F7_0703</t>
  </si>
  <si>
    <t>F8_0701</t>
  </si>
  <si>
    <t>F8_0703</t>
  </si>
  <si>
    <t>F9_0701</t>
  </si>
  <si>
    <t>F9_0703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</si>
</sst>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2"/>
      <color rgb="FF2C3E50"/>
      <name val="Microsoft YaHei"/>
      <family val="2"/>
      <charset val="134"/>
    </font>
    <font>
      <sz val="12"/>
      <color rgb="FF2C3E50"/>
      <name val="Microsoft YaHei"/>
      <family val="2"/>
      <charset val="134"/>
    </font>
    <font>
      <sz val="11"/>
      <color rgb="FFFF0000"/>
      <name val="宋体"/>
      <charset val="134"/>
    </font>
    <font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workbookViewId="0">
      <selection activeCell="N13" sqref="N13"/>
    </sheetView>
  </sheetViews>
  <sheetFormatPr defaultRowHeight="13.5"/>
  <cols>
    <col min="1" max="25" width="13.625" customWidth="1"/>
  </cols>
  <sheetData>
    <row r="1" spans="1:19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6</v>
      </c>
      <c r="O1" s="2" t="s">
        <v>7</v>
      </c>
      <c r="P1" s="3" t="s">
        <v>8</v>
      </c>
      <c r="R1" s="4" t="s">
        <v>9</v>
      </c>
    </row>
    <row r="2" spans="1:19" ht="17.25">
      <c r="A2" t="s">
        <v>10</v>
      </c>
      <c r="B2">
        <v>-1.8617035167137259</v>
      </c>
      <c r="C2">
        <v>0.84997859068278314</v>
      </c>
      <c r="D2">
        <v>-0.57534606860898785</v>
      </c>
      <c r="E2">
        <v>-0.17567563926468849</v>
      </c>
      <c r="F2">
        <v>-0.84851814075940224</v>
      </c>
      <c r="H2" t="s">
        <v>11</v>
      </c>
      <c r="I2">
        <v>-3.380417523381015</v>
      </c>
      <c r="J2">
        <v>-0.7595861270535551</v>
      </c>
      <c r="K2">
        <v>0.5759072830606593</v>
      </c>
      <c r="L2">
        <v>0.57295060120499752</v>
      </c>
      <c r="M2">
        <v>-1.648132434490911</v>
      </c>
      <c r="O2">
        <f t="shared" ref="O2:O33" si="0">M2-F2</f>
        <v>-0.79961429373150872</v>
      </c>
      <c r="P2" s="5">
        <v>601300</v>
      </c>
      <c r="R2" s="6">
        <v>601300</v>
      </c>
      <c r="S2">
        <f>PEARSON(O2:O33,R2:R33)</f>
        <v>0.90085344764785247</v>
      </c>
    </row>
    <row r="3" spans="1:19" ht="17.25">
      <c r="A3" t="s">
        <v>12</v>
      </c>
      <c r="B3">
        <v>0.57555353876515569</v>
      </c>
      <c r="C3">
        <v>2.079604862019393</v>
      </c>
      <c r="D3">
        <v>0.50194831929840933</v>
      </c>
      <c r="E3">
        <v>-0.14738843192685719</v>
      </c>
      <c r="F3">
        <v>0.8103048938589632</v>
      </c>
      <c r="H3" t="s">
        <v>13</v>
      </c>
      <c r="I3">
        <v>3.2972575293588391</v>
      </c>
      <c r="J3">
        <v>-1.7982293332183761</v>
      </c>
      <c r="K3">
        <v>1.350665531142162</v>
      </c>
      <c r="L3">
        <v>0.73323140407956222</v>
      </c>
      <c r="M3">
        <v>1.546237210747327</v>
      </c>
      <c r="O3">
        <f t="shared" si="0"/>
        <v>0.7359323168883638</v>
      </c>
      <c r="P3" s="5">
        <v>11180000</v>
      </c>
      <c r="R3" s="6">
        <v>11180000</v>
      </c>
      <c r="S3">
        <f>PEARSON(M2:M33,R2:R33)</f>
        <v>0.88472048473918807</v>
      </c>
    </row>
    <row r="4" spans="1:19" ht="17.25">
      <c r="A4" t="s">
        <v>14</v>
      </c>
      <c r="B4">
        <v>-1.666763393315275</v>
      </c>
      <c r="C4">
        <v>1.8169594345264579</v>
      </c>
      <c r="D4">
        <v>-1.2219085997311181</v>
      </c>
      <c r="E4">
        <v>0.33800033059051832</v>
      </c>
      <c r="F4">
        <v>-0.60382912221485618</v>
      </c>
      <c r="H4" t="s">
        <v>15</v>
      </c>
      <c r="I4">
        <v>-1.301712797153834</v>
      </c>
      <c r="J4">
        <v>0.59662196460701855</v>
      </c>
      <c r="K4">
        <v>0.66729813667865689</v>
      </c>
      <c r="L4">
        <v>5.0195717038042653E-2</v>
      </c>
      <c r="M4">
        <v>-0.37804027890231268</v>
      </c>
      <c r="O4">
        <f t="shared" si="0"/>
        <v>0.22578884331254351</v>
      </c>
      <c r="P4" s="5">
        <v>5391000</v>
      </c>
      <c r="R4" s="7">
        <v>5391000</v>
      </c>
    </row>
    <row r="5" spans="1:19" ht="17.25">
      <c r="A5" t="s">
        <v>16</v>
      </c>
      <c r="B5">
        <v>-2.3322425750455529</v>
      </c>
      <c r="C5">
        <v>0.167173436958203</v>
      </c>
      <c r="D5">
        <v>0.21637882250076981</v>
      </c>
      <c r="E5">
        <v>-0.83613531245836947</v>
      </c>
      <c r="F5">
        <v>-1.155496271589491</v>
      </c>
      <c r="H5" t="s">
        <v>17</v>
      </c>
      <c r="I5">
        <v>-1.9581533472007111</v>
      </c>
      <c r="J5">
        <v>0.7535310813300965</v>
      </c>
      <c r="K5">
        <v>0.67863512461340059</v>
      </c>
      <c r="L5">
        <v>-0.43653703766561291</v>
      </c>
      <c r="M5">
        <v>-0.71615490812291616</v>
      </c>
      <c r="O5">
        <f t="shared" si="0"/>
        <v>0.43934136346657482</v>
      </c>
      <c r="P5" s="5">
        <v>6538000</v>
      </c>
      <c r="R5" s="7">
        <v>6538000</v>
      </c>
    </row>
    <row r="6" spans="1:19" ht="17.25">
      <c r="A6" t="s">
        <v>18</v>
      </c>
      <c r="B6">
        <v>-1.459710064784999</v>
      </c>
      <c r="C6">
        <v>2.8571268614118388</v>
      </c>
      <c r="D6">
        <v>-1.146302318878033</v>
      </c>
      <c r="E6">
        <v>0.42063156453628181</v>
      </c>
      <c r="F6">
        <v>-0.2528198503406684</v>
      </c>
      <c r="H6" t="s">
        <v>19</v>
      </c>
      <c r="I6">
        <v>-1.221899794858021</v>
      </c>
      <c r="J6">
        <v>2.6814465904096152</v>
      </c>
      <c r="K6">
        <v>1.7533438262272489</v>
      </c>
      <c r="L6">
        <v>0.26035422234885802</v>
      </c>
      <c r="M6">
        <v>0.33761703393883091</v>
      </c>
      <c r="O6">
        <f t="shared" si="0"/>
        <v>0.59043688427949936</v>
      </c>
      <c r="P6" s="5">
        <v>7103000</v>
      </c>
      <c r="R6" s="7">
        <v>7103000</v>
      </c>
    </row>
    <row r="7" spans="1:19" ht="17.25">
      <c r="A7" t="s">
        <v>20</v>
      </c>
      <c r="B7">
        <v>-1.0762340656560161</v>
      </c>
      <c r="C7">
        <v>-0.16455165100906971</v>
      </c>
      <c r="D7">
        <v>-1.044573427919985</v>
      </c>
      <c r="E7">
        <v>-1.4228852855451899</v>
      </c>
      <c r="F7">
        <v>0.90986892830683397</v>
      </c>
      <c r="H7" t="s">
        <v>21</v>
      </c>
      <c r="I7">
        <v>-1.817614285072005</v>
      </c>
      <c r="J7">
        <v>-0.47809741936071559</v>
      </c>
      <c r="K7">
        <v>0.1581792353036432</v>
      </c>
      <c r="L7">
        <v>-1.13355801024527</v>
      </c>
      <c r="M7">
        <v>1.0884259182946601</v>
      </c>
      <c r="O7">
        <f t="shared" si="0"/>
        <v>0.1785569899878261</v>
      </c>
      <c r="P7" s="5">
        <v>511900</v>
      </c>
      <c r="R7" s="7">
        <v>1264000</v>
      </c>
    </row>
    <row r="8" spans="1:19" ht="17.25">
      <c r="A8" t="s">
        <v>22</v>
      </c>
      <c r="B8">
        <v>-6.4219354827372718E-2</v>
      </c>
      <c r="C8">
        <v>-1.7625802926300691</v>
      </c>
      <c r="D8">
        <v>0.11105953941733469</v>
      </c>
      <c r="E8">
        <v>-0.53379927599929833</v>
      </c>
      <c r="F8">
        <v>-0.45457022948233211</v>
      </c>
      <c r="H8" t="s">
        <v>23</v>
      </c>
      <c r="I8">
        <v>-0.26751020262644681</v>
      </c>
      <c r="J8">
        <v>0.75455130079642729</v>
      </c>
      <c r="K8">
        <v>0.88841543972640324</v>
      </c>
      <c r="L8">
        <v>-2.3888666040164792</v>
      </c>
      <c r="M8">
        <v>-6.7596834994415989E-2</v>
      </c>
      <c r="O8">
        <f t="shared" si="0"/>
        <v>0.38697339448791612</v>
      </c>
      <c r="P8" s="5">
        <v>404500</v>
      </c>
      <c r="R8" s="6">
        <v>2548000</v>
      </c>
    </row>
    <row r="9" spans="1:19" ht="17.25">
      <c r="A9" t="s">
        <v>24</v>
      </c>
      <c r="B9">
        <v>-0.89046109978152055</v>
      </c>
      <c r="C9">
        <v>-0.82677986461493691</v>
      </c>
      <c r="D9">
        <v>0.65256038938894201</v>
      </c>
      <c r="E9">
        <v>-0.91389779427102202</v>
      </c>
      <c r="F9">
        <v>-0.59695122209012275</v>
      </c>
      <c r="H9" t="s">
        <v>25</v>
      </c>
      <c r="I9">
        <v>-3.2799888197390188</v>
      </c>
      <c r="J9">
        <v>-0.22136798458978821</v>
      </c>
      <c r="K9">
        <v>1.770764584037319</v>
      </c>
      <c r="L9">
        <v>0.28903551160395341</v>
      </c>
      <c r="M9">
        <v>-1.294514269716015</v>
      </c>
      <c r="O9">
        <f t="shared" si="0"/>
        <v>-0.69756304762589227</v>
      </c>
      <c r="P9" s="5">
        <v>403900</v>
      </c>
      <c r="R9" s="6">
        <v>1579000</v>
      </c>
    </row>
    <row r="10" spans="1:19" ht="17.25">
      <c r="A10" t="s">
        <v>26</v>
      </c>
      <c r="B10">
        <v>0.51075568471551858</v>
      </c>
      <c r="C10">
        <v>0.19465709889694949</v>
      </c>
      <c r="D10">
        <v>-1.635629401342779</v>
      </c>
      <c r="E10">
        <v>-1.3725020667342091E-2</v>
      </c>
      <c r="F10">
        <v>-8.7308060226326065E-3</v>
      </c>
      <c r="H10" t="s">
        <v>27</v>
      </c>
      <c r="I10">
        <v>-0.34164343522378737</v>
      </c>
      <c r="J10">
        <v>-5.0723497273310082E-2</v>
      </c>
      <c r="K10">
        <v>-1.663417613673513</v>
      </c>
      <c r="L10">
        <v>0.81260238065475854</v>
      </c>
      <c r="M10">
        <v>-0.39234617533392069</v>
      </c>
      <c r="O10">
        <f t="shared" si="0"/>
        <v>-0.38361536931128809</v>
      </c>
      <c r="P10" s="5">
        <v>312700</v>
      </c>
      <c r="R10" s="6">
        <v>3637000</v>
      </c>
    </row>
    <row r="11" spans="1:19" ht="17.25">
      <c r="A11" t="s">
        <v>28</v>
      </c>
      <c r="B11">
        <v>-1.1429667736315281</v>
      </c>
      <c r="C11">
        <v>-1.467889646741003</v>
      </c>
      <c r="D11">
        <v>-0.17863880267976059</v>
      </c>
      <c r="E11">
        <v>-0.92123594793050423</v>
      </c>
      <c r="F11">
        <v>-1.01297461505597</v>
      </c>
      <c r="H11" t="s">
        <v>29</v>
      </c>
      <c r="I11">
        <v>-4.6444711976303781</v>
      </c>
      <c r="J11">
        <v>-0.22602743077169679</v>
      </c>
      <c r="K11">
        <v>1.147145434428801</v>
      </c>
      <c r="L11">
        <v>-0.49522844675784511</v>
      </c>
      <c r="M11">
        <v>-2.162715324318536</v>
      </c>
      <c r="O11">
        <f t="shared" si="0"/>
        <v>-1.149740709262566</v>
      </c>
      <c r="P11" s="5">
        <v>140300</v>
      </c>
      <c r="R11" s="7">
        <v>140300</v>
      </c>
    </row>
    <row r="12" spans="1:19" ht="17.25">
      <c r="A12" t="s">
        <v>30</v>
      </c>
      <c r="B12">
        <v>-0.65691636048096502</v>
      </c>
      <c r="C12">
        <v>-0.2619640557548214</v>
      </c>
      <c r="D12">
        <v>0.56984918155748132</v>
      </c>
      <c r="E12">
        <v>0.78248715432593829</v>
      </c>
      <c r="F12">
        <v>-0.18729631789612619</v>
      </c>
      <c r="H12" t="s">
        <v>31</v>
      </c>
      <c r="I12">
        <v>-1.8360167750586061</v>
      </c>
      <c r="J12">
        <v>-0.81796862308873719</v>
      </c>
      <c r="K12">
        <v>9.6274392299433881E-2</v>
      </c>
      <c r="L12">
        <v>1.534545651360173</v>
      </c>
      <c r="M12">
        <v>-0.88798503927882955</v>
      </c>
      <c r="O12">
        <f t="shared" si="0"/>
        <v>-0.70068872138270333</v>
      </c>
      <c r="P12" s="5">
        <v>211800</v>
      </c>
      <c r="R12" s="7">
        <v>211800</v>
      </c>
    </row>
    <row r="13" spans="1:19" ht="17.25">
      <c r="A13" t="s">
        <v>32</v>
      </c>
      <c r="B13">
        <v>2.3670508968028181</v>
      </c>
      <c r="C13">
        <v>-0.93390662782722822</v>
      </c>
      <c r="D13">
        <v>0.54020625048871562</v>
      </c>
      <c r="E13">
        <v>3.464365653433604</v>
      </c>
      <c r="F13">
        <v>1.4340932635999499</v>
      </c>
      <c r="H13" t="s">
        <v>33</v>
      </c>
      <c r="I13">
        <v>3.067609338357304</v>
      </c>
      <c r="J13">
        <v>2.7266160335109588</v>
      </c>
      <c r="K13">
        <v>1.0075406722262059</v>
      </c>
      <c r="L13">
        <v>0.77252884605395322</v>
      </c>
      <c r="M13">
        <v>2.362780548262617</v>
      </c>
      <c r="O13">
        <f t="shared" si="0"/>
        <v>0.92868728466266703</v>
      </c>
      <c r="P13" s="5">
        <v>13930000</v>
      </c>
      <c r="R13" s="7">
        <v>13930000</v>
      </c>
    </row>
    <row r="14" spans="1:19" ht="17.25">
      <c r="A14" t="s">
        <v>34</v>
      </c>
      <c r="B14">
        <v>-2.533055924707027</v>
      </c>
      <c r="C14">
        <v>-1.19744030518143</v>
      </c>
      <c r="D14">
        <v>-0.59397306291650398</v>
      </c>
      <c r="E14">
        <v>2.875673752197137E-2</v>
      </c>
      <c r="F14">
        <v>-1.603891082427761</v>
      </c>
      <c r="H14" t="s">
        <v>35</v>
      </c>
      <c r="I14">
        <v>-1.0445121032929841</v>
      </c>
      <c r="J14">
        <v>-0.18663984992245791</v>
      </c>
      <c r="K14">
        <v>0.35251117235494689</v>
      </c>
      <c r="L14">
        <v>-6.3597076935415872E-2</v>
      </c>
      <c r="M14">
        <v>-0.49343956124585348</v>
      </c>
      <c r="O14">
        <f t="shared" si="0"/>
        <v>1.1104515211819075</v>
      </c>
      <c r="P14" s="5">
        <v>6336000</v>
      </c>
      <c r="R14" s="6">
        <v>4460000</v>
      </c>
    </row>
    <row r="15" spans="1:19" ht="17.25">
      <c r="A15" t="s">
        <v>36</v>
      </c>
      <c r="B15">
        <v>1.0170401805710629</v>
      </c>
      <c r="C15">
        <v>-2.058513226062582</v>
      </c>
      <c r="D15">
        <v>1.0945300343904869</v>
      </c>
      <c r="E15">
        <v>-0.65778229590109616</v>
      </c>
      <c r="F15">
        <v>0.17515080876483899</v>
      </c>
      <c r="H15" t="s">
        <v>37</v>
      </c>
      <c r="I15">
        <v>0.70818518585971069</v>
      </c>
      <c r="J15">
        <v>1.672533061853021E-2</v>
      </c>
      <c r="K15">
        <v>1.0583537932458089</v>
      </c>
      <c r="L15">
        <v>-0.22072726972872991</v>
      </c>
      <c r="M15">
        <v>0.5187132801582065</v>
      </c>
      <c r="O15">
        <f t="shared" si="0"/>
        <v>0.34356247139336749</v>
      </c>
      <c r="P15" s="5">
        <v>8336000</v>
      </c>
      <c r="R15" s="6">
        <v>8336000</v>
      </c>
    </row>
    <row r="16" spans="1:19" ht="17.25">
      <c r="A16" t="s">
        <v>38</v>
      </c>
      <c r="B16">
        <v>-0.46911820576522167</v>
      </c>
      <c r="C16">
        <v>-1.2075370018590661</v>
      </c>
      <c r="D16">
        <v>-9.3353161634386533E-2</v>
      </c>
      <c r="E16">
        <v>0.72775357686696673</v>
      </c>
      <c r="F16">
        <v>-0.42919775887197859</v>
      </c>
      <c r="H16" t="s">
        <v>39</v>
      </c>
      <c r="I16">
        <v>-1.978211521040447</v>
      </c>
      <c r="J16">
        <v>0.75956926454181217</v>
      </c>
      <c r="K16">
        <v>1.96000795162248</v>
      </c>
      <c r="L16">
        <v>0.88029443282638042</v>
      </c>
      <c r="M16">
        <v>-0.34473577927963611</v>
      </c>
      <c r="O16">
        <f t="shared" si="0"/>
        <v>8.4461979592342473E-2</v>
      </c>
      <c r="P16" s="5">
        <v>6800000</v>
      </c>
      <c r="R16" s="7">
        <v>6800000</v>
      </c>
    </row>
    <row r="17" spans="1:18" ht="17.25">
      <c r="A17" t="s">
        <v>40</v>
      </c>
      <c r="B17">
        <v>1.3959992526374849</v>
      </c>
      <c r="C17">
        <v>-1.508555087168141</v>
      </c>
      <c r="D17">
        <v>-0.88872674965614429</v>
      </c>
      <c r="E17">
        <v>1.2734155784632</v>
      </c>
      <c r="F17">
        <v>0.33094495543377628</v>
      </c>
      <c r="H17" t="s">
        <v>41</v>
      </c>
      <c r="I17">
        <v>-1.241547859640006</v>
      </c>
      <c r="J17">
        <v>-0.33948053258004512</v>
      </c>
      <c r="K17">
        <v>-0.84945844868246012</v>
      </c>
      <c r="L17">
        <v>1.6392130801906311</v>
      </c>
      <c r="M17">
        <v>-0.65464612236253605</v>
      </c>
      <c r="O17">
        <f t="shared" si="0"/>
        <v>-0.98559107779631239</v>
      </c>
      <c r="P17" s="5">
        <v>330900</v>
      </c>
      <c r="R17" s="7">
        <v>330900</v>
      </c>
    </row>
    <row r="18" spans="1:18" ht="17.25">
      <c r="A18" t="s">
        <v>42</v>
      </c>
      <c r="B18">
        <v>-6.6887560112294547E-2</v>
      </c>
      <c r="C18">
        <v>-0.90336198950183044</v>
      </c>
      <c r="D18">
        <v>-1.221853684842668</v>
      </c>
      <c r="E18">
        <v>0.41777391510288109</v>
      </c>
      <c r="F18">
        <v>-0.40703657337022942</v>
      </c>
      <c r="H18" t="s">
        <v>43</v>
      </c>
      <c r="I18">
        <v>-2.8104981683907</v>
      </c>
      <c r="J18">
        <v>-1.310470386147548</v>
      </c>
      <c r="K18">
        <v>2.3324000881546079</v>
      </c>
      <c r="L18">
        <v>-0.14353952003413509</v>
      </c>
      <c r="M18">
        <v>-1.247889061582294</v>
      </c>
      <c r="O18">
        <f t="shared" si="0"/>
        <v>-0.84085248821206449</v>
      </c>
      <c r="P18" s="5">
        <v>238900</v>
      </c>
      <c r="R18" s="7">
        <v>238900</v>
      </c>
    </row>
    <row r="19" spans="1:18" ht="17.25">
      <c r="A19" t="s">
        <v>44</v>
      </c>
      <c r="B19">
        <v>-0.26625380693865253</v>
      </c>
      <c r="C19">
        <v>0.78632943304507097</v>
      </c>
      <c r="D19">
        <v>-0.87853782545687575</v>
      </c>
      <c r="E19">
        <v>0.23973629393627899</v>
      </c>
      <c r="F19">
        <v>-9.2683928858876774E-2</v>
      </c>
      <c r="H19" t="s">
        <v>45</v>
      </c>
      <c r="I19">
        <v>-1.6404681571481481</v>
      </c>
      <c r="J19">
        <v>-0.56839570697492103</v>
      </c>
      <c r="K19">
        <v>-0.4109228826934494</v>
      </c>
      <c r="L19">
        <v>-6.2200362674082757E-2</v>
      </c>
      <c r="M19">
        <v>-1.007273909602113</v>
      </c>
      <c r="O19">
        <f t="shared" si="0"/>
        <v>-0.91458998074323627</v>
      </c>
      <c r="P19" s="5">
        <v>682100</v>
      </c>
      <c r="R19" s="7">
        <v>682100</v>
      </c>
    </row>
    <row r="20" spans="1:18" ht="17.25">
      <c r="A20" t="s">
        <v>46</v>
      </c>
      <c r="B20">
        <v>-0.8001435154795099</v>
      </c>
      <c r="C20">
        <v>1.0444446308351649</v>
      </c>
      <c r="D20">
        <v>-1.6249920650484651</v>
      </c>
      <c r="E20">
        <v>0.25687023717726443</v>
      </c>
      <c r="F20">
        <v>-0.43176712438034259</v>
      </c>
      <c r="H20" t="s">
        <v>47</v>
      </c>
      <c r="I20">
        <v>-2.630217101997276</v>
      </c>
      <c r="J20">
        <v>-0.13214604070117569</v>
      </c>
      <c r="K20">
        <v>-0.18546470155784189</v>
      </c>
      <c r="L20">
        <v>0.18078408633922091</v>
      </c>
      <c r="M20">
        <v>-1.327430610985382</v>
      </c>
      <c r="O20">
        <f t="shared" si="0"/>
        <v>-0.89566348660503936</v>
      </c>
      <c r="P20" s="5">
        <v>211300</v>
      </c>
      <c r="R20" s="7">
        <v>211300</v>
      </c>
    </row>
    <row r="21" spans="1:18" ht="17.25">
      <c r="A21" t="s">
        <v>48</v>
      </c>
      <c r="B21">
        <v>-0.3336905562539344</v>
      </c>
      <c r="C21">
        <v>1.191034122256279</v>
      </c>
      <c r="D21">
        <v>2.6379496416608408</v>
      </c>
      <c r="E21">
        <v>-1.5566036719563909</v>
      </c>
      <c r="F21">
        <v>0.40726485456655021</v>
      </c>
      <c r="H21" t="s">
        <v>49</v>
      </c>
      <c r="I21">
        <v>-3.2193310811131828</v>
      </c>
      <c r="J21">
        <v>1.3030212840046089</v>
      </c>
      <c r="K21">
        <v>0.82113609085426564</v>
      </c>
      <c r="L21">
        <v>-0.47295010409586968</v>
      </c>
      <c r="M21">
        <v>-1.1902332040895329</v>
      </c>
      <c r="O21">
        <f t="shared" si="0"/>
        <v>-1.5974980586560832</v>
      </c>
      <c r="P21" s="5">
        <v>465900</v>
      </c>
      <c r="R21" s="7">
        <v>465900</v>
      </c>
    </row>
    <row r="22" spans="1:18" ht="17.25">
      <c r="A22" t="s">
        <v>50</v>
      </c>
      <c r="B22">
        <v>1.7259178241173589</v>
      </c>
      <c r="C22">
        <v>-1.560194066529246</v>
      </c>
      <c r="D22">
        <v>4.0888552733238734</v>
      </c>
      <c r="E22">
        <v>1.3824844658213851</v>
      </c>
      <c r="F22">
        <v>1.403239935922671</v>
      </c>
      <c r="H22" t="s">
        <v>51</v>
      </c>
      <c r="I22">
        <v>0.88987814166154966</v>
      </c>
      <c r="J22">
        <v>0.91810825228963944</v>
      </c>
      <c r="K22">
        <v>0.31347372478729818</v>
      </c>
      <c r="L22">
        <v>3.26525703843769</v>
      </c>
      <c r="M22">
        <v>1.0531584785078361</v>
      </c>
      <c r="O22">
        <f t="shared" si="0"/>
        <v>-0.35008145741483498</v>
      </c>
      <c r="P22" s="5">
        <v>11240000</v>
      </c>
      <c r="R22" s="6">
        <v>11240000</v>
      </c>
    </row>
    <row r="23" spans="1:18" ht="17.25">
      <c r="A23" t="s">
        <v>52</v>
      </c>
      <c r="B23">
        <v>6.7456577810877272E-2</v>
      </c>
      <c r="C23">
        <v>5.1056640443473723E-2</v>
      </c>
      <c r="D23">
        <v>-0.75617234425701674</v>
      </c>
      <c r="E23">
        <v>-0.79380029636318294</v>
      </c>
      <c r="F23">
        <v>-0.18194875728597121</v>
      </c>
      <c r="H23" t="s">
        <v>53</v>
      </c>
      <c r="I23">
        <v>1.6754460202827011</v>
      </c>
      <c r="J23">
        <v>-1.2725725949534721</v>
      </c>
      <c r="K23">
        <v>1.3516891951831991</v>
      </c>
      <c r="L23">
        <v>-0.19320992402533871</v>
      </c>
      <c r="M23">
        <v>0.76657016861770488</v>
      </c>
      <c r="O23">
        <f t="shared" si="0"/>
        <v>0.94851892590367615</v>
      </c>
      <c r="P23" s="5">
        <v>14700000</v>
      </c>
      <c r="R23" s="7">
        <v>12840000</v>
      </c>
    </row>
    <row r="24" spans="1:18" ht="17.25">
      <c r="A24" t="s">
        <v>54</v>
      </c>
      <c r="B24">
        <v>0.68623498912062608</v>
      </c>
      <c r="C24">
        <v>-0.1891403537517154</v>
      </c>
      <c r="D24">
        <v>-2.5746434081993481</v>
      </c>
      <c r="E24">
        <v>8.7239326077452023E-2</v>
      </c>
      <c r="F24">
        <v>-0.16732982480214401</v>
      </c>
      <c r="H24" t="s">
        <v>55</v>
      </c>
      <c r="I24">
        <v>4.3635761408173597</v>
      </c>
      <c r="J24">
        <v>2.3076750117710789</v>
      </c>
      <c r="K24">
        <v>-0.1538129944878697</v>
      </c>
      <c r="L24">
        <v>-1.0725130687525199</v>
      </c>
      <c r="M24">
        <v>2.4880392486183291</v>
      </c>
      <c r="O24">
        <f t="shared" si="0"/>
        <v>2.6553690734204731</v>
      </c>
      <c r="P24" s="5">
        <v>21910000</v>
      </c>
      <c r="R24" s="6">
        <v>21910000</v>
      </c>
    </row>
    <row r="25" spans="1:18" ht="17.25">
      <c r="A25" t="s">
        <v>56</v>
      </c>
      <c r="B25">
        <v>-0.19398382996638919</v>
      </c>
      <c r="C25">
        <v>-2.3893199976439692</v>
      </c>
      <c r="D25">
        <v>-1.7112044066395271</v>
      </c>
      <c r="E25">
        <v>-0.74738292370910042</v>
      </c>
      <c r="F25">
        <v>-1.011563233040824</v>
      </c>
      <c r="H25" t="s">
        <v>57</v>
      </c>
      <c r="I25">
        <v>3.0376977899976279</v>
      </c>
      <c r="J25">
        <v>-0.32761076973801201</v>
      </c>
      <c r="K25">
        <v>0.63498175486609254</v>
      </c>
      <c r="L25">
        <v>-0.96793643340294033</v>
      </c>
      <c r="M25">
        <v>1.421368121240669</v>
      </c>
      <c r="O25">
        <f t="shared" si="0"/>
        <v>2.432931354281493</v>
      </c>
      <c r="P25" s="5">
        <v>11180000</v>
      </c>
      <c r="R25" s="7">
        <v>14700000</v>
      </c>
    </row>
    <row r="26" spans="1:18" ht="17.25">
      <c r="A26" t="s">
        <v>58</v>
      </c>
      <c r="B26">
        <v>1.298563235179486</v>
      </c>
      <c r="C26">
        <v>-1.1763888050392279</v>
      </c>
      <c r="D26">
        <v>-0.46077279627721679</v>
      </c>
      <c r="E26">
        <v>-1.4146242016900681</v>
      </c>
      <c r="F26">
        <v>0.1369891482718282</v>
      </c>
      <c r="H26" t="s">
        <v>59</v>
      </c>
      <c r="I26">
        <v>5.0322401863199664</v>
      </c>
      <c r="J26">
        <v>-0.48414224211048279</v>
      </c>
      <c r="K26">
        <v>0.18857908273300131</v>
      </c>
      <c r="L26">
        <v>-1.808140828473447</v>
      </c>
      <c r="M26">
        <v>2.186895271003821</v>
      </c>
      <c r="O26">
        <f t="shared" si="0"/>
        <v>2.0499061227319926</v>
      </c>
      <c r="P26" s="5">
        <v>18240000</v>
      </c>
      <c r="R26" s="6">
        <v>26980000</v>
      </c>
    </row>
    <row r="27" spans="1:18" ht="17.25">
      <c r="A27" t="s">
        <v>60</v>
      </c>
      <c r="B27">
        <v>0.23014268168909929</v>
      </c>
      <c r="C27">
        <v>-0.8944740451700024</v>
      </c>
      <c r="D27">
        <v>-1.788494182080886</v>
      </c>
      <c r="E27">
        <v>-1.194781265863587E-2</v>
      </c>
      <c r="F27">
        <v>-0.4111508433876162</v>
      </c>
      <c r="H27" t="s">
        <v>61</v>
      </c>
      <c r="I27">
        <v>0.65522262845159718</v>
      </c>
      <c r="J27">
        <v>3.3195728909767048</v>
      </c>
      <c r="K27">
        <v>-1.139871411340732</v>
      </c>
      <c r="L27">
        <v>0.2405295609552387</v>
      </c>
      <c r="M27">
        <v>0.86232124282931266</v>
      </c>
      <c r="O27">
        <f t="shared" si="0"/>
        <v>1.2734720862169289</v>
      </c>
      <c r="P27" s="5">
        <v>14110000</v>
      </c>
      <c r="R27" s="7">
        <v>14110000</v>
      </c>
    </row>
    <row r="28" spans="1:18" ht="17.25">
      <c r="A28" t="s">
        <v>62</v>
      </c>
      <c r="B28">
        <v>1.3918113723881621E-2</v>
      </c>
      <c r="C28">
        <v>-1.021960746798333E-2</v>
      </c>
      <c r="D28">
        <v>-2.0609622631352269</v>
      </c>
      <c r="E28">
        <v>0.31130555988845499</v>
      </c>
      <c r="F28">
        <v>-0.33795959204958148</v>
      </c>
      <c r="H28" t="s">
        <v>63</v>
      </c>
      <c r="I28">
        <v>1.0595589138417509</v>
      </c>
      <c r="J28">
        <v>2.7004434711055318</v>
      </c>
      <c r="K28">
        <v>-0.16423221903542071</v>
      </c>
      <c r="L28">
        <v>0.41163662322302119</v>
      </c>
      <c r="M28">
        <v>1.1220919301922829</v>
      </c>
      <c r="O28">
        <f t="shared" si="0"/>
        <v>1.4600515222418644</v>
      </c>
      <c r="P28" s="5">
        <v>13740000</v>
      </c>
      <c r="R28" s="7">
        <v>13740000</v>
      </c>
    </row>
    <row r="29" spans="1:18" ht="17.25">
      <c r="A29" t="s">
        <v>64</v>
      </c>
      <c r="B29">
        <v>-0.67568346416049552</v>
      </c>
      <c r="C29">
        <v>-1.158635350083195</v>
      </c>
      <c r="D29">
        <v>-1.638044208587806</v>
      </c>
      <c r="E29">
        <v>-0.1568851099637249</v>
      </c>
      <c r="F29">
        <v>-0.8997103062499433</v>
      </c>
      <c r="H29" t="s">
        <v>65</v>
      </c>
      <c r="I29">
        <v>2.0040494807900919</v>
      </c>
      <c r="J29">
        <v>-1.550628177206262</v>
      </c>
      <c r="K29">
        <v>1.4234367848362759</v>
      </c>
      <c r="L29">
        <v>-0.23161736977133471</v>
      </c>
      <c r="M29">
        <v>0.87528594290902839</v>
      </c>
      <c r="O29">
        <f t="shared" si="0"/>
        <v>1.7749962491589717</v>
      </c>
      <c r="P29" s="5">
        <v>17250000</v>
      </c>
      <c r="R29" s="7">
        <v>17250000</v>
      </c>
    </row>
    <row r="30" spans="1:18" ht="17.25">
      <c r="A30" t="s">
        <v>66</v>
      </c>
      <c r="B30">
        <v>-0.77078779422900401</v>
      </c>
      <c r="C30">
        <v>0.48113937268612722</v>
      </c>
      <c r="D30">
        <v>-1.605664892607787</v>
      </c>
      <c r="E30">
        <v>0.1273840404755931</v>
      </c>
      <c r="F30">
        <v>-0.55109417137923822</v>
      </c>
      <c r="H30" t="s">
        <v>67</v>
      </c>
      <c r="I30">
        <v>2.835464546679221</v>
      </c>
      <c r="J30">
        <v>3.2947248440798531</v>
      </c>
      <c r="K30">
        <v>0.21256731690583741</v>
      </c>
      <c r="L30">
        <v>-0.31832002645189189</v>
      </c>
      <c r="M30">
        <v>2.1073687822149312</v>
      </c>
      <c r="O30">
        <f t="shared" si="0"/>
        <v>2.6584629535941695</v>
      </c>
      <c r="P30" s="5">
        <v>20320000</v>
      </c>
      <c r="R30" s="6">
        <v>20320000</v>
      </c>
    </row>
    <row r="31" spans="1:18" ht="17.25">
      <c r="A31" t="s">
        <v>68</v>
      </c>
      <c r="B31">
        <v>5.1691356017528757E-2</v>
      </c>
      <c r="C31">
        <v>-0.1848225109506339</v>
      </c>
      <c r="D31">
        <v>-1.0623962514032661</v>
      </c>
      <c r="E31">
        <v>-0.65283317378085137</v>
      </c>
      <c r="F31">
        <v>-0.28153289022272948</v>
      </c>
      <c r="H31" t="s">
        <v>69</v>
      </c>
      <c r="I31">
        <v>3.0532374702086189</v>
      </c>
      <c r="J31">
        <v>0.16190329530095421</v>
      </c>
      <c r="K31">
        <v>-0.16025432186105501</v>
      </c>
      <c r="L31">
        <v>0.19082656931808489</v>
      </c>
      <c r="M31">
        <v>1.5183791943839</v>
      </c>
      <c r="O31">
        <f t="shared" si="0"/>
        <v>1.7999120846066294</v>
      </c>
      <c r="P31" s="5">
        <v>20000000</v>
      </c>
      <c r="R31" s="6">
        <v>20000000</v>
      </c>
    </row>
    <row r="32" spans="1:18" ht="17.25">
      <c r="A32" t="s">
        <v>70</v>
      </c>
      <c r="B32">
        <v>1.2017537634493971</v>
      </c>
      <c r="C32">
        <v>-1.9798329337740801</v>
      </c>
      <c r="D32">
        <v>-1.0456619767929529</v>
      </c>
      <c r="E32">
        <v>7.8008636276972049E-2</v>
      </c>
      <c r="F32">
        <v>-2.756772846661424E-2</v>
      </c>
      <c r="H32" t="s">
        <v>71</v>
      </c>
      <c r="I32">
        <v>3.6179399868134192</v>
      </c>
      <c r="J32">
        <v>0.77017450292091549</v>
      </c>
      <c r="K32">
        <v>1.39678967438659</v>
      </c>
      <c r="L32">
        <v>-0.55724519992758437</v>
      </c>
      <c r="M32">
        <v>2.12898254590813</v>
      </c>
      <c r="O32">
        <f t="shared" si="0"/>
        <v>2.156550274374744</v>
      </c>
      <c r="P32" s="5">
        <v>17170000</v>
      </c>
      <c r="R32" s="7">
        <v>17170000</v>
      </c>
    </row>
    <row r="33" spans="1:18" ht="17.25">
      <c r="A33" t="s">
        <v>72</v>
      </c>
      <c r="B33">
        <v>0.60050084850486118</v>
      </c>
      <c r="C33">
        <v>-0.66254378350346621</v>
      </c>
      <c r="D33">
        <v>-1.252278772390004</v>
      </c>
      <c r="E33">
        <v>-0.41624183498865919</v>
      </c>
      <c r="F33">
        <v>-0.12627691664642959</v>
      </c>
      <c r="H33" t="s">
        <v>73</v>
      </c>
      <c r="I33">
        <v>4.8350937298711374</v>
      </c>
      <c r="J33">
        <v>-1.5614516840712329</v>
      </c>
      <c r="K33">
        <v>-0.76586847728210705</v>
      </c>
      <c r="L33">
        <v>0.16883251590415249</v>
      </c>
      <c r="M33">
        <v>1.8995288078470829</v>
      </c>
      <c r="O33">
        <f t="shared" si="0"/>
        <v>2.0258057244935124</v>
      </c>
      <c r="P33" s="5">
        <v>15830000</v>
      </c>
      <c r="R33" s="7">
        <v>15830000</v>
      </c>
    </row>
    <row r="34" spans="1:18" ht="17.25">
      <c r="P34" s="5"/>
    </row>
    <row r="35" spans="1:18" ht="17.25">
      <c r="P35" s="5"/>
    </row>
    <row r="36" spans="1:18" ht="17.25">
      <c r="P36" s="5"/>
      <c r="R36" s="6"/>
    </row>
    <row r="37" spans="1:18" ht="17.25">
      <c r="P37" s="5"/>
      <c r="R37" s="7"/>
    </row>
    <row r="38" spans="1:18" ht="17.25">
      <c r="P38" s="5"/>
      <c r="R38" s="7"/>
    </row>
    <row r="39" spans="1:18" ht="17.25">
      <c r="P39" s="5"/>
      <c r="R39" s="7"/>
    </row>
    <row r="40" spans="1:18" ht="17.25">
      <c r="P40" s="5"/>
      <c r="R40" s="7"/>
    </row>
    <row r="41" spans="1:18">
      <c r="R41" s="6"/>
    </row>
    <row r="42" spans="1:18">
      <c r="R42" s="6"/>
    </row>
    <row r="43" spans="1:18">
      <c r="R43" s="6"/>
    </row>
    <row r="44" spans="1:18">
      <c r="R44" s="7"/>
    </row>
    <row r="45" spans="1:18">
      <c r="R45" s="7"/>
    </row>
    <row r="46" spans="1:18">
      <c r="R46" s="6"/>
    </row>
    <row r="47" spans="1:18">
      <c r="R47" s="6"/>
    </row>
    <row r="48" spans="1:18">
      <c r="R48" s="7"/>
    </row>
    <row r="49" spans="18:18">
      <c r="R49" s="7"/>
    </row>
    <row r="50" spans="18:18">
      <c r="R50" s="7"/>
    </row>
    <row r="51" spans="18:18">
      <c r="R51" s="7"/>
    </row>
    <row r="52" spans="18:18">
      <c r="R52" s="7"/>
    </row>
    <row r="53" spans="18:18">
      <c r="R53" s="7"/>
    </row>
  </sheetData>
  <phoneticPr fontId="6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2026-08-24T06:59:03Z</dcterms:created>
  <dcterms:modified xsi:type="dcterms:W3CDTF">2026-08-24T07:01:12Z</dcterms:modified>
  <cp:category/>
</cp:coreProperties>
</file>